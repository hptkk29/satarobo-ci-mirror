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D10935-B594-4E38-B8CE-83026D3FE7DE}" xr6:coauthVersionLast="47" xr6:coauthVersionMax="47" xr10:uidLastSave="{00000000-0000-0000-0000-000000000000}"/>
  <bookViews>
    <workbookView xWindow="43080" yWindow="5745" windowWidth="29040" windowHeight="15720" activeTab="1" xr2:uid="{00000000-000D-0000-FFFF-FFFF00000000}"/>
  </bookViews>
  <sheets>
    <sheet name="HƯỚNG DẪN" sheetId="1" r:id="rId1"/>
    <sheet name="KHUNG CA CỐ ĐỊNH" sheetId="2" r:id="rId2"/>
    <sheet name="LỊCH T08-2026" sheetId="3" r:id="rId3"/>
    <sheet name="LỊCH T09-2026" sheetId="4" r:id="rId4"/>
    <sheet name="LỊCH T10-2026" sheetId="5" r:id="rId5"/>
    <sheet name="LỊCH T11-2026" sheetId="6" r:id="rId6"/>
    <sheet name="LỊCH T12-2026" sheetId="7" r:id="rId7"/>
    <sheet name="DANH MỤC CA" sheetId="8" r:id="rId8"/>
    <sheet name="LỚP HỌC" sheetId="9" r:id="rId9"/>
    <sheet name="VIỆC CỐ ĐỊNH" sheetId="10" r:id="rId10"/>
    <sheet name="GHI CHÚ &amp; GHI ĐÈ" sheetId="11" r:id="rId11"/>
    <sheet name="ĐƠN ĐỔI CA" sheetId="12" r:id="rId12"/>
    <sheet name="KẾT QUẢ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2" i="7" l="1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AK31" i="7"/>
  <c r="AJ31" i="7"/>
  <c r="AK30" i="7"/>
  <c r="AJ30" i="7"/>
  <c r="AK29" i="7"/>
  <c r="AJ29" i="7"/>
  <c r="AK28" i="7"/>
  <c r="AK32" i="7" s="1"/>
  <c r="AJ28" i="7"/>
  <c r="AJ32" i="7" s="1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AK24" i="7"/>
  <c r="AJ24" i="7"/>
  <c r="AK23" i="7"/>
  <c r="AJ23" i="7"/>
  <c r="AK22" i="7"/>
  <c r="AJ22" i="7"/>
  <c r="AK21" i="7"/>
  <c r="AJ21" i="7"/>
  <c r="AK20" i="7"/>
  <c r="AJ20" i="7"/>
  <c r="AK19" i="7"/>
  <c r="AJ19" i="7"/>
  <c r="AK18" i="7"/>
  <c r="AK25" i="7" s="1"/>
  <c r="AJ18" i="7"/>
  <c r="AJ25" i="7" s="1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AK14" i="7"/>
  <c r="AJ14" i="7"/>
  <c r="AK13" i="7"/>
  <c r="AJ13" i="7"/>
  <c r="AK12" i="7"/>
  <c r="AJ12" i="7"/>
  <c r="AK11" i="7"/>
  <c r="AJ11" i="7"/>
  <c r="AK10" i="7"/>
  <c r="AJ10" i="7"/>
  <c r="AK9" i="7"/>
  <c r="AJ9" i="7"/>
  <c r="AK8" i="7"/>
  <c r="AJ8" i="7"/>
  <c r="AK7" i="7"/>
  <c r="AK15" i="7" s="1"/>
  <c r="AJ7" i="7"/>
  <c r="AK6" i="7"/>
  <c r="AJ6" i="7"/>
  <c r="AJ15" i="7" s="1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AK31" i="6"/>
  <c r="AJ31" i="6"/>
  <c r="AK30" i="6"/>
  <c r="AJ30" i="6"/>
  <c r="AK29" i="6"/>
  <c r="AJ29" i="6"/>
  <c r="AK28" i="6"/>
  <c r="AK32" i="6" s="1"/>
  <c r="AJ28" i="6"/>
  <c r="AJ32" i="6" s="1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AK24" i="6"/>
  <c r="AK25" i="6" s="1"/>
  <c r="AJ24" i="6"/>
  <c r="AJ25" i="6" s="1"/>
  <c r="AK23" i="6"/>
  <c r="AJ23" i="6"/>
  <c r="AK22" i="6"/>
  <c r="AJ22" i="6"/>
  <c r="AK21" i="6"/>
  <c r="AJ21" i="6"/>
  <c r="AK20" i="6"/>
  <c r="AJ20" i="6"/>
  <c r="AK19" i="6"/>
  <c r="AJ19" i="6"/>
  <c r="AK18" i="6"/>
  <c r="AJ18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AK14" i="6"/>
  <c r="AJ14" i="6"/>
  <c r="AK13" i="6"/>
  <c r="AJ13" i="6"/>
  <c r="AK12" i="6"/>
  <c r="AJ12" i="6"/>
  <c r="AK11" i="6"/>
  <c r="AJ11" i="6"/>
  <c r="AK10" i="6"/>
  <c r="AJ10" i="6"/>
  <c r="AK9" i="6"/>
  <c r="AJ9" i="6"/>
  <c r="AK8" i="6"/>
  <c r="AJ8" i="6"/>
  <c r="AK7" i="6"/>
  <c r="AJ7" i="6"/>
  <c r="AK6" i="6"/>
  <c r="AK15" i="6" s="1"/>
  <c r="AJ6" i="6"/>
  <c r="AJ15" i="6" s="1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AK31" i="5"/>
  <c r="AK32" i="5" s="1"/>
  <c r="AJ31" i="5"/>
  <c r="AK30" i="5"/>
  <c r="AJ30" i="5"/>
  <c r="AK29" i="5"/>
  <c r="AJ29" i="5"/>
  <c r="AK28" i="5"/>
  <c r="AJ28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AK24" i="5"/>
  <c r="AJ24" i="5"/>
  <c r="AK23" i="5"/>
  <c r="AJ23" i="5"/>
  <c r="AK22" i="5"/>
  <c r="AJ22" i="5"/>
  <c r="AK21" i="5"/>
  <c r="AJ21" i="5"/>
  <c r="AK20" i="5"/>
  <c r="AJ20" i="5"/>
  <c r="AK19" i="5"/>
  <c r="AJ19" i="5"/>
  <c r="AK18" i="5"/>
  <c r="AK25" i="5" s="1"/>
  <c r="AJ18" i="5"/>
  <c r="AJ25" i="5" s="1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K14" i="5"/>
  <c r="AJ14" i="5"/>
  <c r="AK13" i="5"/>
  <c r="AJ13" i="5"/>
  <c r="AK12" i="5"/>
  <c r="AJ12" i="5"/>
  <c r="AK11" i="5"/>
  <c r="AJ11" i="5"/>
  <c r="AK10" i="5"/>
  <c r="AJ10" i="5"/>
  <c r="AK9" i="5"/>
  <c r="AJ9" i="5"/>
  <c r="AK8" i="5"/>
  <c r="AK15" i="5" s="1"/>
  <c r="AJ8" i="5"/>
  <c r="AK7" i="5"/>
  <c r="AJ7" i="5"/>
  <c r="AK6" i="5"/>
  <c r="AJ6" i="5"/>
  <c r="AJ15" i="5" s="1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AK31" i="4"/>
  <c r="AJ31" i="4"/>
  <c r="AK30" i="4"/>
  <c r="AJ30" i="4"/>
  <c r="AK29" i="4"/>
  <c r="AJ29" i="4"/>
  <c r="AK28" i="4"/>
  <c r="AK32" i="4" s="1"/>
  <c r="AJ28" i="4"/>
  <c r="AJ32" i="4" s="1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AK24" i="4"/>
  <c r="AJ24" i="4"/>
  <c r="AK23" i="4"/>
  <c r="AJ23" i="4"/>
  <c r="AK22" i="4"/>
  <c r="AJ22" i="4"/>
  <c r="AK21" i="4"/>
  <c r="AJ21" i="4"/>
  <c r="AK20" i="4"/>
  <c r="AJ20" i="4"/>
  <c r="AK19" i="4"/>
  <c r="AJ19" i="4"/>
  <c r="AK18" i="4"/>
  <c r="AK25" i="4" s="1"/>
  <c r="AJ18" i="4"/>
  <c r="AJ25" i="4" s="1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AK14" i="4"/>
  <c r="AJ14" i="4"/>
  <c r="AK13" i="4"/>
  <c r="AJ13" i="4"/>
  <c r="AK12" i="4"/>
  <c r="AJ12" i="4"/>
  <c r="AK11" i="4"/>
  <c r="AJ11" i="4"/>
  <c r="AK10" i="4"/>
  <c r="AJ10" i="4"/>
  <c r="AK9" i="4"/>
  <c r="AJ9" i="4"/>
  <c r="AK8" i="4"/>
  <c r="AJ8" i="4"/>
  <c r="AK7" i="4"/>
  <c r="AJ7" i="4"/>
  <c r="AK6" i="4"/>
  <c r="AK15" i="4" s="1"/>
  <c r="AJ6" i="4"/>
  <c r="AJ15" i="4" s="1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AK31" i="3"/>
  <c r="AJ31" i="3"/>
  <c r="AK30" i="3"/>
  <c r="AJ30" i="3"/>
  <c r="AK29" i="3"/>
  <c r="AJ29" i="3"/>
  <c r="AK28" i="3"/>
  <c r="AK32" i="3" s="1"/>
  <c r="AJ28" i="3"/>
  <c r="AJ32" i="3" s="1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AK24" i="3"/>
  <c r="AJ24" i="3"/>
  <c r="AK23" i="3"/>
  <c r="AJ23" i="3"/>
  <c r="AK22" i="3"/>
  <c r="AJ22" i="3"/>
  <c r="AK21" i="3"/>
  <c r="AJ21" i="3"/>
  <c r="AK20" i="3"/>
  <c r="AJ20" i="3"/>
  <c r="AK19" i="3"/>
  <c r="AJ19" i="3"/>
  <c r="AK18" i="3"/>
  <c r="AK25" i="3" s="1"/>
  <c r="AJ18" i="3"/>
  <c r="AJ25" i="3" s="1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AK14" i="3"/>
  <c r="AJ14" i="3"/>
  <c r="AK13" i="3"/>
  <c r="AJ13" i="3"/>
  <c r="AK12" i="3"/>
  <c r="AJ12" i="3"/>
  <c r="AK11" i="3"/>
  <c r="AJ11" i="3"/>
  <c r="AK10" i="3"/>
  <c r="AJ10" i="3"/>
  <c r="AK9" i="3"/>
  <c r="AJ9" i="3"/>
  <c r="AK8" i="3"/>
  <c r="AK15" i="3" s="1"/>
  <c r="AJ8" i="3"/>
  <c r="AK7" i="3"/>
  <c r="AJ7" i="3"/>
  <c r="AK6" i="3"/>
  <c r="AJ6" i="3"/>
  <c r="AJ15" i="3" s="1"/>
</calcChain>
</file>

<file path=xl/sharedStrings.xml><?xml version="1.0" encoding="utf-8"?>
<sst xmlns="http://schemas.openxmlformats.org/spreadsheetml/2006/main" count="3745" uniqueCount="274">
  <si>
    <t>LỊCH PHÂN CA — SATA ROBO · 20/08/2026 → 31/12/2026</t>
  </si>
  <si>
    <t>Tin nhắn tự động 19:00 mỗi ngày · Nội dung là lịch NGÀY HÔM SAU · 3 tin: Cơ sở 1 · Cơ sở 2 · HO</t>
  </si>
  <si>
    <t>① CÁC TRANG</t>
  </si>
  <si>
    <t>KHUNG CA CỐ ĐỊNH</t>
  </si>
  <si>
    <t>Ca lặp hằng tuần của từng người. SỬA Ở ĐÂY TRƯỚC, rồi mới sinh lại lưới tháng.</t>
  </si>
  <si>
    <t>LỊCH T08 → T12-2026</t>
  </si>
  <si>
    <t>Lưới cả tháng. Mỗi người 1 dòng, mỗi ngày 1 cột, trong ô là MÃ CA. Nơi nhập chính.</t>
  </si>
  <si>
    <t>DANH MỤC CA</t>
  </si>
  <si>
    <t>Định nghĩa mã ca: tên, giờ &amp; nơi làm từng buổi, ghi chú kèm theo.</t>
  </si>
  <si>
    <t>LỚP HỌC</t>
  </si>
  <si>
    <t>Lớp đang dạy. Script tự ghép lớp vào ca của giáo viên theo tên trùng khớp.</t>
  </si>
  <si>
    <t>VIỆC CỐ ĐỊNH</t>
  </si>
  <si>
    <t>Việc chung lặp hằng tuần của từng cơ sở.</t>
  </si>
  <si>
    <t>GHI CHÚ &amp; GHI ĐÈ</t>
  </si>
  <si>
    <t>Phát sinh theo NGÀY CỤ THỂ: ghi chú riêng, nghỉ lễ, thay toàn bộ nội dung tin.</t>
  </si>
  <si>
    <t>KẾT QUẢ</t>
  </si>
  <si>
    <t>Máy tự ghi lúc 19:00. KHÔNG gõ tay.</t>
  </si>
  <si>
    <t>② GIÁO VIÊN GỘP VÀO TIN CƠ SỞ</t>
  </si>
  <si>
    <t>Không còn tin riêng cho Giáo viên</t>
  </si>
  <si>
    <t>Cột Đơn vị của giáo viên là "Cơ sở 1" hoặc "Cơ sở 2"; cột Vai trò ghi "Giáo viên". Tin của cơ sở tách 2 mục: 💼 KINH DOANH và 🎓 GIÁO VIÊN.</t>
  </si>
  <si>
    <t>Người làm cả 2 cơ sở</t>
  </si>
  <si>
    <t>Có 2 dòng (một ở mỗi khối) — như Mr Phúc và Cô Trà My. Ngày sang cơ sở kia thì dòng bên này ghi D1/D2.</t>
  </si>
  <si>
    <t>③ CÁCH DÙNG LƯỚI THÁNG</t>
  </si>
  <si>
    <t>Đổi tháng</t>
  </si>
  <si>
    <t>Sửa 2 ô VÀNG "Tháng" / "Năm" ở dòng 2 — số ngày, thứ và tô màu Chủ Nhật tự cập nhật.</t>
  </si>
  <si>
    <t>Nhập ô</t>
  </si>
  <si>
    <t>Bấm ô rồi chọn mã ca từ danh sách sổ xuống. Ô trống = không có lịch, không xuất hiện trong tin.</t>
  </si>
  <si>
    <t>Tổng công / Nghỉ</t>
  </si>
  <si>
    <t>Tự tính. Tổng công = số ô có mã, trừ X và P.</t>
  </si>
  <si>
    <t>④ LƯU Ý</t>
  </si>
  <si>
    <t>Múi giờ</t>
  </si>
  <si>
    <t>Apps Script phải đặt Time zone = (GMT+07:00) Bangkok, Hanoi, Jakarta.</t>
  </si>
  <si>
    <t>Ngày 01–19/08</t>
  </si>
  <si>
    <t>Đang để TRỐNG — chờ anh cung cấp lịch thực tế đoạn 01/08–19/08.</t>
  </si>
  <si>
    <t>11:30–14:00 ngày thường</t>
  </si>
  <si>
    <t>Không có nhân sự Kinh doanh trực (Ca gãy nghỉ trưa, Ca suốt chưa vào). Cần phân công người nhận cuộc gọi.</t>
  </si>
  <si>
    <t>Ngày nghỉ tuần Ms Huệ</t>
  </si>
  <si>
    <t>Đang Linh động cả T2 lẫn CN — chưa có 24h nghỉ liên tục theo Điều 111 BLLĐ. Cần xác nhận.</t>
  </si>
  <si>
    <t>KHUNG CA CỐ ĐỊNH HẰNG TUẦN — TOÀN BỘ NHÂN SỰ</t>
  </si>
  <si>
    <t>Đây là nguồn chuẩn. Lưới tháng T08→T12 được sinh ra từ bảng này. Sửa ca cố định thì sửa ở đây rồi cập nhật lại lưới tháng.</t>
  </si>
  <si>
    <t>STT</t>
  </si>
  <si>
    <t>Tên hiển thị</t>
  </si>
  <si>
    <t>Họ và tên đầy đủ</t>
  </si>
  <si>
    <t>Đơn vị</t>
  </si>
  <si>
    <t>Vai trò</t>
  </si>
  <si>
    <t>SĐT</t>
  </si>
  <si>
    <t>T2</t>
  </si>
  <si>
    <t>T3</t>
  </si>
  <si>
    <t>T4</t>
  </si>
  <si>
    <t>T5</t>
  </si>
  <si>
    <t>T6</t>
  </si>
  <si>
    <t>T7</t>
  </si>
  <si>
    <t>CN</t>
  </si>
  <si>
    <t>Mr Phúc</t>
  </si>
  <si>
    <t>Cơ sở 1</t>
  </si>
  <si>
    <t>Quản lý</t>
  </si>
  <si>
    <t>X</t>
  </si>
  <si>
    <t>D2</t>
  </si>
  <si>
    <t>CG</t>
  </si>
  <si>
    <t>CCT</t>
  </si>
  <si>
    <t>Mr Diệu</t>
  </si>
  <si>
    <t>Tư vấn</t>
  </si>
  <si>
    <t>CS</t>
  </si>
  <si>
    <t>Ms Hạ</t>
  </si>
  <si>
    <t>Thầy Khôi</t>
  </si>
  <si>
    <t>Lê Khôi</t>
  </si>
  <si>
    <t>Giáo viên</t>
  </si>
  <si>
    <t>CT</t>
  </si>
  <si>
    <t>S</t>
  </si>
  <si>
    <t>—</t>
  </si>
  <si>
    <t>T</t>
  </si>
  <si>
    <t>SC</t>
  </si>
  <si>
    <t>Cô Trà My</t>
  </si>
  <si>
    <t>Hoàng Trà My</t>
  </si>
  <si>
    <t>C</t>
  </si>
  <si>
    <t>Cô Thanh Hiền</t>
  </si>
  <si>
    <t>Phạm Lê Thanh Hiền</t>
  </si>
  <si>
    <t>Cô Mai Uyên</t>
  </si>
  <si>
    <t>Phan Trần Mai Uyên</t>
  </si>
  <si>
    <t>Cô Hoàng Anh</t>
  </si>
  <si>
    <t>Nguyễn Thị Hoàng Anh</t>
  </si>
  <si>
    <t>Cô Nhật Vy</t>
  </si>
  <si>
    <t>Cơ sở 2</t>
  </si>
  <si>
    <t>D1</t>
  </si>
  <si>
    <t>Ms Vân</t>
  </si>
  <si>
    <t>Ms Liên</t>
  </si>
  <si>
    <t>CGD</t>
  </si>
  <si>
    <t>Cô Bảo Thư</t>
  </si>
  <si>
    <t>Nguyễn Trần Bảo Thư</t>
  </si>
  <si>
    <t>ST</t>
  </si>
  <si>
    <t>Thầy Tấn Phát</t>
  </si>
  <si>
    <t>Nguyễn Tấn Phát</t>
  </si>
  <si>
    <t>Thầy Tuấn</t>
  </si>
  <si>
    <t>Nguyễn Đức Tuấn</t>
  </si>
  <si>
    <t>Cô Bích Trà</t>
  </si>
  <si>
    <t>Nguyễn Bích Trà</t>
  </si>
  <si>
    <t>Ms Linh</t>
  </si>
  <si>
    <t>HO</t>
  </si>
  <si>
    <t>Marketing</t>
  </si>
  <si>
    <t>HC</t>
  </si>
  <si>
    <t>Mr Kiệt</t>
  </si>
  <si>
    <t>Công nghệ</t>
  </si>
  <si>
    <t>Mr Toại</t>
  </si>
  <si>
    <t>Đào tạo</t>
  </si>
  <si>
    <t>Ms Huệ</t>
  </si>
  <si>
    <t>Tài chính</t>
  </si>
  <si>
    <t>LD</t>
  </si>
  <si>
    <t>CỘT SĐT (ô vàng) — điền số điện thoại vào đây, tin nhắn hằng ngày sẽ tự kèm theo. Bỏ trống thì tin không hiện SĐT. Chỉ điền MỘT LẦN, dùng chung cả 5 tháng.</t>
  </si>
  <si>
    <t>QUY ĐỊNH KHUNG CA GIÁO VIÊN: S 07:45–11:30 · C 13:45–17:30 · T 17:15–21:00 · Có mặt trước ca 10 phút.</t>
  </si>
  <si>
    <t>CHẾ ĐỘ TRỰC TRIAL (+1% hoa hồng): Tối Thứ 3, Thứ 4, Thứ 5, Thứ 6 &amp; Sáng Thứ 7, Chủ Nhật.</t>
  </si>
  <si>
    <t>BÁO NGHỈ / ĐỔI CA: báo trước ít nhất 2 ngày, chủ động tìm người thay thế hoặc đổi ca, báo Quản lý xác nhận.</t>
  </si>
  <si>
    <t>THỨ HAI: toàn Trung tâm nghỉ (trừ Ms Huệ linh động).</t>
  </si>
  <si>
    <t>LỊCH PHÂN CA THÁNG — CÔNG TY CỔ PHẦN CÔNG NGHỆ GIÁO DỤC SATA ROBO</t>
  </si>
  <si>
    <t>Tháng:</t>
  </si>
  <si>
    <t>Năm:</t>
  </si>
  <si>
    <t>◀ Đổi Tháng / Năm ở 2 ô vàng — số ngày, thứ và tô màu Chủ Nhật tự cập nhật</t>
  </si>
  <si>
    <t>Họ và tên</t>
  </si>
  <si>
    <t>Tổng công</t>
  </si>
  <si>
    <t>Nghỉ / Phép</t>
  </si>
  <si>
    <t>CƠ SỞ 1 · 211 Nguyễn Hữu Thọ</t>
  </si>
  <si>
    <t>TỔNG NHÂN SỰ ĐI LÀM MỖI NGÀY — Cơ sở 1</t>
  </si>
  <si>
    <t>CƠ SỞ 2 · 114 Hoàng Diệu</t>
  </si>
  <si>
    <t>TỔNG NHÂN SỰ ĐI LÀM MỖI NGÀY — Cơ sở 2</t>
  </si>
  <si>
    <t>BỘ PHẬN HO · Hội sở</t>
  </si>
  <si>
    <t>TỔNG NHÂN SỰ ĐI LÀM MỖI NGÀY — HO</t>
  </si>
  <si>
    <t>CHÚ THÍCH MÃ CA — sửa ở trang DANH MỤC CA</t>
  </si>
  <si>
    <t>CA GÃY</t>
  </si>
  <si>
    <t>09:00–11:30 &amp; 14:00–17:45</t>
  </si>
  <si>
    <t>CA SUỐT</t>
  </si>
  <si>
    <t>14:00–21:00</t>
  </si>
  <si>
    <t>CA CUỐI TUẦN</t>
  </si>
  <si>
    <t>07:45–11:30 &amp; 13:45–17:45</t>
  </si>
  <si>
    <t>CA GÃY DÀI</t>
  </si>
  <si>
    <t>09:00–11:30 &amp; 13:30–19:15</t>
  </si>
  <si>
    <t>Làm tại Cơ sở 1</t>
  </si>
  <si>
    <t>Làm tại Cơ sở 2</t>
  </si>
  <si>
    <t>Giờ hành chính</t>
  </si>
  <si>
    <t>08:00–11:30 &amp; 13:30–17:30</t>
  </si>
  <si>
    <t>12</t>
  </si>
  <si>
    <t>Sáng CS1 · Chiều CS2</t>
  </si>
  <si>
    <t>21</t>
  </si>
  <si>
    <t>Sáng CS2 · Chiều CS1</t>
  </si>
  <si>
    <t>2C</t>
  </si>
  <si>
    <t>Cả 2 cơ sở</t>
  </si>
  <si>
    <t>CA SÁNG</t>
  </si>
  <si>
    <t>07:45–11:30</t>
  </si>
  <si>
    <t>CA CHIỀU</t>
  </si>
  <si>
    <t>13:45–17:30</t>
  </si>
  <si>
    <t>CA TỐI</t>
  </si>
  <si>
    <t>17:15–21:00</t>
  </si>
  <si>
    <t>CA SÁNG + CHIỀU</t>
  </si>
  <si>
    <t>07:45–11:30 &amp; 13:45–17:30</t>
  </si>
  <si>
    <t>CA SÁNG + TỐI</t>
  </si>
  <si>
    <t>07:45–11:30 &amp; 17:15–21:00</t>
  </si>
  <si>
    <t>CA CHIỀU + TỐI</t>
  </si>
  <si>
    <t>13:45–21:00</t>
  </si>
  <si>
    <t>SCT</t>
  </si>
  <si>
    <t>CA SÁNG + CHIỀU + TỐI</t>
  </si>
  <si>
    <t>07:45–11:30 &amp; 13:45–21:00</t>
  </si>
  <si>
    <t>Linh động</t>
  </si>
  <si>
    <t>NG</t>
  </si>
  <si>
    <t>Công tác ngoài</t>
  </si>
  <si>
    <t>Nghỉ</t>
  </si>
  <si>
    <t>P</t>
  </si>
  <si>
    <t>Nghỉ phép</t>
  </si>
  <si>
    <t>Mã ca</t>
  </si>
  <si>
    <t>Tên ca</t>
  </si>
  <si>
    <t>Giờ buổi sáng</t>
  </si>
  <si>
    <t>Nơi làm buổi sáng</t>
  </si>
  <si>
    <t>Giờ buổi chiều</t>
  </si>
  <si>
    <t>Nơi làm buổi chiều</t>
  </si>
  <si>
    <t>Ghi chú kèm theo</t>
  </si>
  <si>
    <t>09:00–11:30</t>
  </si>
  <si>
    <t>14:00–17:45</t>
  </si>
  <si>
    <t>Nghỉ giữa giờ 16:30–17:00, tính vào giờ làm</t>
  </si>
  <si>
    <t>13:45–17:45</t>
  </si>
  <si>
    <t>13:30–19:15</t>
  </si>
  <si>
    <t>08:00–11:30</t>
  </si>
  <si>
    <t>Theo phân công</t>
  </si>
  <si>
    <t>13:30–17:30</t>
  </si>
  <si>
    <t>Không nhất thiết đến Trung tâm</t>
  </si>
  <si>
    <t>Nơi làm để TRỐNG = làm tại chính cơ sở của đơn vị · "Nghỉ" = buổi đó không làm · Thêm mã mới thì thêm dòng ngay dưới, không chèn giữa.</t>
  </si>
  <si>
    <t>DANH SÁCH LỚP ĐANG DẠY — mỗi buổi học trong tuần là MỘT DÒNG</t>
  </si>
  <si>
    <t>Cơ sở</t>
  </si>
  <si>
    <t>Tên lớp / Khoá</t>
  </si>
  <si>
    <t>Thứ</t>
  </si>
  <si>
    <t>Giờ bắt đầu</t>
  </si>
  <si>
    <t>Giờ kết thúc</t>
  </si>
  <si>
    <t>Giáo viên phụ trách</t>
  </si>
  <si>
    <t>Sĩ số</t>
  </si>
  <si>
    <t>Trạng thái</t>
  </si>
  <si>
    <t>Ghi chú</t>
  </si>
  <si>
    <t>LUYỆN THI THCS</t>
  </si>
  <si>
    <t>Thứ Bảy</t>
  </si>
  <si>
    <t>10:00</t>
  </si>
  <si>
    <t>Đang dạy</t>
  </si>
  <si>
    <t>LUYỆN THI THCS (lý thuyết)</t>
  </si>
  <si>
    <t>Thứ Năm</t>
  </si>
  <si>
    <t>14:00</t>
  </si>
  <si>
    <t>Buổi lý thuyết</t>
  </si>
  <si>
    <t>LUYỆN THI TIH</t>
  </si>
  <si>
    <t>Thứ Tư</t>
  </si>
  <si>
    <t>LUYỆN THI TIH (lý thuyết)</t>
  </si>
  <si>
    <t>19:30</t>
  </si>
  <si>
    <t>LUYỆN THI CKTP</t>
  </si>
  <si>
    <t>Đã xong</t>
  </si>
  <si>
    <t>Lịch không cố định</t>
  </si>
  <si>
    <t>Khai giảng 27/06</t>
  </si>
  <si>
    <t>15:45</t>
  </si>
  <si>
    <t>Khai giảng 20/06</t>
  </si>
  <si>
    <t>17:30</t>
  </si>
  <si>
    <t>Cần ghép lớp cho đủ sĩ số</t>
  </si>
  <si>
    <t>Khai giảng: CẦN XÁC NHẬN (file cũ ghi "8-thg 1")</t>
  </si>
  <si>
    <t>SATA 4</t>
  </si>
  <si>
    <t>18:00</t>
  </si>
  <si>
    <t>Khai giảng tháng 6</t>
  </si>
  <si>
    <t>19:00</t>
  </si>
  <si>
    <t>SATA 6</t>
  </si>
  <si>
    <t>11:30</t>
  </si>
  <si>
    <t>SATA 3</t>
  </si>
  <si>
    <t>Thứ Hai</t>
  </si>
  <si>
    <t>TRÙNG NGÀY NGHỈ TRUNG TÂM — cần xác nhận</t>
  </si>
  <si>
    <t>Khai giảng tháng 7</t>
  </si>
  <si>
    <t>LUYỆN THI</t>
  </si>
  <si>
    <t>Chưa ghi lịch</t>
  </si>
  <si>
    <t>09:00</t>
  </si>
  <si>
    <t>Khai giảng 08/08/2026</t>
  </si>
  <si>
    <t>Chỉ lớp "Đang dạy" mới vào tin nhắn · Tên giáo viên phải TRÙNG KHỚP cột "Họ và tên" ở lưới tháng thì mới ghép được lớp vào ca</t>
  </si>
  <si>
    <t>Nội dung việc cố định</t>
  </si>
  <si>
    <t>Thứ Ba</t>
  </si>
  <si>
    <t>Không họp — cả đội tập trung gọi khách</t>
  </si>
  <si>
    <t>15:00–16:00 HỌP TỔNG KẾT TUẦN (60 phút) — có mặt đầy đủ</t>
  </si>
  <si>
    <t>Thứ Sáu</t>
  </si>
  <si>
    <t>15:00–16:00 ĐÀO TẠO NGHIỆP VỤ (60 phút)</t>
  </si>
  <si>
    <t>Vận hành lớp cuối tuần · Chăm sóc phụ huynh</t>
  </si>
  <si>
    <t>Chủ Nhật</t>
  </si>
  <si>
    <t>NGÀY HỘI CÔNG NGHỆ 08:00–11:30 — toàn đội có mặt trước 07:45</t>
  </si>
  <si>
    <t>NGÀY HỘI CÔNG NGHỆ 08:00–11:30</t>
  </si>
  <si>
    <t>Chăm sóc sâu 1-1 (Chủ nhật đầu tháng: Lễ vinh danh học viên)</t>
  </si>
  <si>
    <t>VIỆC PHÁT SINH THEO NGÀY CỤ THỂ — ưu tiên cao hơn lưới tháng và trang VIỆC CỐ ĐỊNH</t>
  </si>
  <si>
    <t>Ngày</t>
  </si>
  <si>
    <t>Họ và tên
(trống = cả đơn vị)</t>
  </si>
  <si>
    <t>Không gửi tin</t>
  </si>
  <si>
    <t>Tin thay thế toàn bộ</t>
  </si>
  <si>
    <t>NGHỈ LỄ — Quốc khánh — ngày liền kề trước (Thứ Ba)</t>
  </si>
  <si>
    <t>Có</t>
  </si>
  <si>
    <t>NGHỈ LỄ — Quốc khánh 02/9 (Thứ Tư)</t>
  </si>
  <si>
    <t>NGHỈ LỄ — Ngày Văn hóa Việt Nam (Thứ Ba) — theo Nghị quyết 28/2026/QH16</t>
  </si>
  <si>
    <t>↑ Các dòng trên là NGHỈ LỄ đã điền sẵn theo quy định (Điều 112 BLLĐ · TB 9441/TB-BNV · NQ 28/2026/QH16). Nếu lịch nghỉ của công ty khác thì sửa trực tiếp. Nhập việc phát sinh từ dòng dưới.</t>
  </si>
  <si>
    <t>ĐƠN XIN NGHỈ / ĐỔI CA — Google Form tự ghi vào trang này</t>
  </si>
  <si>
    <t>Cột A–I do Form ghi, KHÔNG sửa tiêu đề. Cột J–L là nơi Quản lý duyệt. Chỉ dòng "Đã duyệt" mới có hiệu lực với tin nhắn 19:00.</t>
  </si>
  <si>
    <t>Dấu thời gian</t>
  </si>
  <si>
    <t>Loại đơn</t>
  </si>
  <si>
    <t>Ngày áp dụng</t>
  </si>
  <si>
    <t>Mã ca mới</t>
  </si>
  <si>
    <t>Người nhận thay</t>
  </si>
  <si>
    <t>Mã ca của người nhận thay</t>
  </si>
  <si>
    <t>Lý do</t>
  </si>
  <si>
    <t>Người duyệt</t>
  </si>
  <si>
    <t>Ghi chú duyệt</t>
  </si>
  <si>
    <t>Nghỉ phép có người thay</t>
  </si>
  <si>
    <t>Việc gia đình</t>
  </si>
  <si>
    <t>Đã duyệt</t>
  </si>
  <si>
    <t>Đổi mã ca trong ngày</t>
  </si>
  <si>
    <t>Đổi lịch dạy</t>
  </si>
  <si>
    <t>Chờ duyệt</t>
  </si>
  <si>
    <t>↑ 2 dòng VÍ DỤ — xoá sau khi nối Form. Từ dòng 8 trở xuống Form tự ghi.</t>
  </si>
  <si>
    <t>NGƯỜI DUYỆT: Cơ sở 1 &amp; Cơ sở 2 → Mr Phúc · HO → Dev. Đổi người duyệt thì sửa dòng này và báo lại đội.</t>
  </si>
  <si>
    <t>QUY ĐỊNH: báo trước ít nhất 2 ngày · chủ động tìm người thay hoặc đổi ca · báo Quản lý xác nhận.</t>
  </si>
  <si>
    <t>Đơn nộp sát ngày (dưới 2 ngày) script sẽ ghi "Nộp muộn" vào cột Ghi chú duyệt để Quản lý cân nhắc.</t>
  </si>
  <si>
    <t>MÁY TỰ GHI — KHÔNG GÕ TAY VÀO TRANG NÀY. Cập nhật lúc 19:00 mỗi ngày.</t>
  </si>
  <si>
    <t>Nội dung tin nhắn</t>
  </si>
  <si>
    <t>Lần chạy gần nhất:</t>
  </si>
  <si>
    <t>Trạng thái: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</si>
</sst>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7" formatCode="dd/mm/yyyy\ hh:mm"/>
  </numFmts>
  <fonts count="31" x14ac:knownFonts="1">
    <font>
      <sz val="11"/>
      <color theme="1"/>
      <name val="Calibri"/>
      <family val="2"/>
      <scheme val="minor"/>
    </font>
    <font>
      <b/>
      <sz val="15"/>
      <color rgb="FF1B2A4A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4"/>
      <color rgb="FF1B2A4A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color rgb="FF999999"/>
      <name val="Arial"/>
    </font>
    <font>
      <sz val="9"/>
      <color rgb="FF8A4B00"/>
      <name val="Arial"/>
    </font>
    <font>
      <b/>
      <sz val="13"/>
      <color rgb="FF1B2A4A"/>
      <name val="Arial"/>
    </font>
    <font>
      <b/>
      <sz val="11"/>
      <color rgb="FF000000"/>
      <name val="Arial"/>
    </font>
    <font>
      <i/>
      <sz val="9"/>
      <color rgb="FF8A4B00"/>
      <name val="Arial"/>
    </font>
    <font>
      <b/>
      <sz val="9"/>
      <color rgb="FFFFFFFF"/>
      <name val="Arial"/>
    </font>
    <font>
      <b/>
      <sz val="9"/>
      <color rgb="FF444444"/>
      <name val="Arial"/>
    </font>
    <font>
      <b/>
      <sz val="9"/>
      <color rgb="FFC00000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999999"/>
      <name val="Arial"/>
    </font>
    <font>
      <b/>
      <sz val="9"/>
      <color rgb="FF1F5C99"/>
      <name val="Arial"/>
    </font>
    <font>
      <b/>
      <sz val="9"/>
      <color rgb="FF2E7D4F"/>
      <name val="Arial"/>
    </font>
    <font>
      <b/>
      <sz val="9"/>
      <color rgb="FFC1650B"/>
      <name val="Arial"/>
    </font>
    <font>
      <b/>
      <sz val="10"/>
      <color rgb="FF1B2A4A"/>
      <name val="Arial"/>
    </font>
    <font>
      <sz val="9"/>
      <color rgb="FF666666"/>
      <name val="Arial"/>
    </font>
    <font>
      <b/>
      <sz val="9"/>
      <color rgb="FFB42318"/>
      <name val="Arial"/>
    </font>
    <font>
      <b/>
      <sz val="11"/>
      <color rgb="FF1B2A4A"/>
      <name val="Arial"/>
    </font>
    <font>
      <i/>
      <sz val="10"/>
      <color rgb="FFB42318"/>
      <name val="Arial"/>
    </font>
    <font>
      <b/>
      <sz val="12"/>
      <color rgb="FF1B2A4A"/>
      <name val="Arial"/>
    </font>
    <font>
      <i/>
      <sz val="9"/>
      <color rgb="FF999999"/>
      <name val="Arial"/>
    </font>
    <font>
      <b/>
      <sz val="11"/>
      <color rgb="FFC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CE9F5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DDEFE4"/>
      </patternFill>
    </fill>
    <fill>
      <patternFill patternType="solid">
        <fgColor rgb="FFFBE8D2"/>
      </patternFill>
    </fill>
    <fill>
      <patternFill patternType="solid">
        <fgColor rgb="FFF2F2F2"/>
      </patternFill>
    </fill>
    <fill>
      <patternFill patternType="solid">
        <fgColor rgb="FFFDE0E0"/>
      </patternFill>
    </fill>
    <fill>
      <patternFill patternType="solid">
        <fgColor rgb="FF1F5C99"/>
      </patternFill>
    </fill>
    <fill>
      <patternFill patternType="solid">
        <fgColor rgb="FFFFFBE6"/>
      </patternFill>
    </fill>
    <fill>
      <patternFill patternType="solid">
        <fgColor rgb="FF2E7D4F"/>
      </patternFill>
    </fill>
    <fill>
      <patternFill patternType="solid">
        <fgColor rgb="FFC1650B"/>
      </patternFill>
    </fill>
    <fill>
      <patternFill patternType="solid">
        <fgColor rgb="FFFFC7C7"/>
      </patternFill>
    </fill>
    <fill>
      <patternFill patternType="solid">
        <fgColor rgb="FFFFD9D9"/>
      </patternFill>
    </fill>
    <fill>
      <patternFill patternType="solid">
        <fgColor rgb="FF7A5AA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0" fillId="4" borderId="0" xfId="0" applyFont="1" applyFill="1"/>
    <xf numFmtId="0" fontId="11" fillId="0" borderId="0" xfId="0" applyFont="1"/>
    <xf numFmtId="0" fontId="4" fillId="0" borderId="0" xfId="0" applyFont="1"/>
    <xf numFmtId="0" fontId="12" fillId="4" borderId="1" xfId="0" applyFont="1" applyFill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5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8" fillId="10" borderId="1" xfId="0" applyFont="1" applyFill="1" applyBorder="1"/>
    <xf numFmtId="0" fontId="0" fillId="10" borderId="1" xfId="0" applyFill="1" applyBorder="1"/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/>
    <xf numFmtId="0" fontId="17" fillId="3" borderId="1" xfId="0" applyFont="1" applyFill="1" applyBorder="1"/>
    <xf numFmtId="0" fontId="18" fillId="11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8" fillId="12" borderId="1" xfId="0" applyFont="1" applyFill="1" applyBorder="1"/>
    <xf numFmtId="0" fontId="0" fillId="12" borderId="1" xfId="0" applyFill="1" applyBorder="1"/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/>
    <xf numFmtId="0" fontId="17" fillId="6" borderId="1" xfId="0" applyFont="1" applyFill="1" applyBorder="1"/>
    <xf numFmtId="0" fontId="21" fillId="6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horizontal="center" vertical="center"/>
    </xf>
    <xf numFmtId="0" fontId="8" fillId="13" borderId="1" xfId="0" applyFont="1" applyFill="1" applyBorder="1"/>
    <xf numFmtId="0" fontId="0" fillId="13" borderId="1" xfId="0" applyFill="1" applyBorder="1"/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/>
    <xf numFmtId="0" fontId="17" fillId="7" borderId="1" xfId="0" applyFont="1" applyFill="1" applyBorder="1"/>
    <xf numFmtId="0" fontId="22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center" vertical="center"/>
    </xf>
    <xf numFmtId="0" fontId="23" fillId="0" borderId="0" xfId="0" applyFont="1"/>
    <xf numFmtId="0" fontId="18" fillId="0" borderId="0" xfId="0" applyFont="1"/>
    <xf numFmtId="0" fontId="17" fillId="0" borderId="0" xfId="0" applyFont="1"/>
    <xf numFmtId="0" fontId="24" fillId="0" borderId="0" xfId="0" applyFont="1"/>
    <xf numFmtId="0" fontId="25" fillId="1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4" fillId="0" borderId="1" xfId="0" applyFont="1" applyBorder="1" applyAlignment="1">
      <alignment horizontal="center" vertical="center"/>
    </xf>
    <xf numFmtId="0" fontId="26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65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8" fillId="0" borderId="0" xfId="0" applyFont="1"/>
    <xf numFmtId="0" fontId="8" fillId="16" borderId="1" xfId="0" applyFont="1" applyFill="1" applyBorder="1" applyAlignment="1">
      <alignment horizontal="center" vertical="center"/>
    </xf>
    <xf numFmtId="167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165" fontId="29" fillId="0" borderId="1" xfId="0" applyNumberFormat="1" applyFont="1" applyBorder="1" applyAlignment="1">
      <alignment horizontal="center" vertical="center"/>
    </xf>
    <xf numFmtId="0" fontId="30" fillId="0" borderId="0" xfId="0" applyFont="1"/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6"/>
  <sheetViews>
    <sheetView workbookViewId="0"/>
  </sheetViews>
  <sheetFormatPr defaultRowHeight="14.6" x14ac:dyDescent="0.4"/>
  <cols>
    <col min="1" max="1" width="3" customWidth="1"/>
    <col min="2" max="2" width="34" customWidth="1"/>
    <col min="3" max="3" width="104" customWidth="1"/>
  </cols>
  <sheetData>
    <row r="1" spans="2:3" ht="19.3" x14ac:dyDescent="0.5">
      <c r="B1" s="1" t="s">
        <v>0</v>
      </c>
    </row>
    <row r="2" spans="2:3" x14ac:dyDescent="0.4">
      <c r="B2" s="2" t="s">
        <v>1</v>
      </c>
    </row>
    <row r="4" spans="2:3" x14ac:dyDescent="0.4">
      <c r="B4" s="3" t="s">
        <v>2</v>
      </c>
      <c r="C4" s="4"/>
    </row>
    <row r="5" spans="2:3" x14ac:dyDescent="0.4">
      <c r="B5" s="5" t="s">
        <v>3</v>
      </c>
      <c r="C5" s="6" t="s">
        <v>4</v>
      </c>
    </row>
    <row r="6" spans="2:3" x14ac:dyDescent="0.4">
      <c r="B6" s="5" t="s">
        <v>5</v>
      </c>
      <c r="C6" s="6" t="s">
        <v>6</v>
      </c>
    </row>
    <row r="7" spans="2:3" x14ac:dyDescent="0.4">
      <c r="B7" s="5" t="s">
        <v>7</v>
      </c>
      <c r="C7" s="6" t="s">
        <v>8</v>
      </c>
    </row>
    <row r="8" spans="2:3" x14ac:dyDescent="0.4">
      <c r="B8" s="5" t="s">
        <v>9</v>
      </c>
      <c r="C8" s="6" t="s">
        <v>10</v>
      </c>
    </row>
    <row r="9" spans="2:3" x14ac:dyDescent="0.4">
      <c r="B9" s="5" t="s">
        <v>11</v>
      </c>
      <c r="C9" s="6" t="s">
        <v>12</v>
      </c>
    </row>
    <row r="10" spans="2:3" x14ac:dyDescent="0.4">
      <c r="B10" s="5" t="s">
        <v>13</v>
      </c>
      <c r="C10" s="6" t="s">
        <v>14</v>
      </c>
    </row>
    <row r="11" spans="2:3" x14ac:dyDescent="0.4">
      <c r="B11" s="5" t="s">
        <v>15</v>
      </c>
      <c r="C11" s="6" t="s">
        <v>16</v>
      </c>
    </row>
    <row r="13" spans="2:3" x14ac:dyDescent="0.4">
      <c r="B13" s="3" t="s">
        <v>17</v>
      </c>
      <c r="C13" s="4"/>
    </row>
    <row r="14" spans="2:3" ht="24.9" x14ac:dyDescent="0.4">
      <c r="B14" s="5" t="s">
        <v>18</v>
      </c>
      <c r="C14" s="6" t="s">
        <v>19</v>
      </c>
    </row>
    <row r="15" spans="2:3" x14ac:dyDescent="0.4">
      <c r="B15" s="5" t="s">
        <v>20</v>
      </c>
      <c r="C15" s="6" t="s">
        <v>21</v>
      </c>
    </row>
    <row r="17" spans="2:3" x14ac:dyDescent="0.4">
      <c r="B17" s="3" t="s">
        <v>22</v>
      </c>
      <c r="C17" s="4"/>
    </row>
    <row r="18" spans="2:3" x14ac:dyDescent="0.4">
      <c r="B18" s="5" t="s">
        <v>23</v>
      </c>
      <c r="C18" s="6" t="s">
        <v>24</v>
      </c>
    </row>
    <row r="19" spans="2:3" x14ac:dyDescent="0.4">
      <c r="B19" s="5" t="s">
        <v>25</v>
      </c>
      <c r="C19" s="6" t="s">
        <v>26</v>
      </c>
    </row>
    <row r="20" spans="2:3" x14ac:dyDescent="0.4">
      <c r="B20" s="5" t="s">
        <v>27</v>
      </c>
      <c r="C20" s="6" t="s">
        <v>28</v>
      </c>
    </row>
    <row r="22" spans="2:3" x14ac:dyDescent="0.4">
      <c r="B22" s="3" t="s">
        <v>29</v>
      </c>
      <c r="C22" s="4"/>
    </row>
    <row r="23" spans="2:3" x14ac:dyDescent="0.4">
      <c r="B23" s="5" t="s">
        <v>30</v>
      </c>
      <c r="C23" s="6" t="s">
        <v>31</v>
      </c>
    </row>
    <row r="24" spans="2:3" x14ac:dyDescent="0.4">
      <c r="B24" s="5" t="s">
        <v>32</v>
      </c>
      <c r="C24" s="6" t="s">
        <v>33</v>
      </c>
    </row>
    <row r="25" spans="2:3" x14ac:dyDescent="0.4">
      <c r="B25" s="5" t="s">
        <v>34</v>
      </c>
      <c r="C25" s="6" t="s">
        <v>35</v>
      </c>
    </row>
    <row r="26" spans="2:3" x14ac:dyDescent="0.4">
      <c r="B26" s="5" t="s">
        <v>36</v>
      </c>
      <c r="C26" s="6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tabSelected="1" workbookViewId="0">
      <selection activeCell="F5" sqref="F5"/>
    </sheetView>
  </sheetViews>
  <sheetFormatPr defaultRowHeight="14.6" x14ac:dyDescent="0.4"/>
  <cols>
    <col min="1" max="1" width="5" customWidth="1"/>
    <col min="2" max="2" width="17" customWidth="1"/>
    <col min="3" max="3" width="24" customWidth="1"/>
    <col min="4" max="4" width="11" customWidth="1"/>
    <col min="5" max="5" width="13" customWidth="1"/>
    <col min="6" max="6" width="14" customWidth="1"/>
    <col min="7" max="13" width="7" customWidth="1"/>
  </cols>
  <sheetData>
    <row r="1" spans="1:13" ht="17.600000000000001" x14ac:dyDescent="0.4">
      <c r="A1" s="7" t="s">
        <v>38</v>
      </c>
    </row>
    <row r="2" spans="1:13" x14ac:dyDescent="0.4">
      <c r="A2" s="8" t="s">
        <v>39</v>
      </c>
    </row>
    <row r="4" spans="1:13" x14ac:dyDescent="0.4">
      <c r="A4" s="9" t="s">
        <v>40</v>
      </c>
      <c r="B4" s="9" t="s">
        <v>41</v>
      </c>
      <c r="C4" s="9" t="s">
        <v>42</v>
      </c>
      <c r="D4" s="9" t="s">
        <v>43</v>
      </c>
      <c r="E4" s="9" t="s">
        <v>44</v>
      </c>
      <c r="F4" s="9" t="s">
        <v>45</v>
      </c>
      <c r="G4" s="9" t="s">
        <v>46</v>
      </c>
      <c r="H4" s="9" t="s">
        <v>47</v>
      </c>
      <c r="I4" s="9" t="s">
        <v>48</v>
      </c>
      <c r="J4" s="9" t="s">
        <v>49</v>
      </c>
      <c r="K4" s="9" t="s">
        <v>50</v>
      </c>
      <c r="L4" s="9" t="s">
        <v>51</v>
      </c>
      <c r="M4" s="9" t="s">
        <v>52</v>
      </c>
    </row>
    <row r="5" spans="1:13" x14ac:dyDescent="0.4">
      <c r="A5" s="10">
        <v>1</v>
      </c>
      <c r="B5" s="11" t="s">
        <v>53</v>
      </c>
      <c r="C5" s="12" t="s">
        <v>53</v>
      </c>
      <c r="D5" s="12" t="s">
        <v>54</v>
      </c>
      <c r="E5" s="12" t="s">
        <v>55</v>
      </c>
      <c r="F5" s="13"/>
      <c r="G5" s="14" t="s">
        <v>56</v>
      </c>
      <c r="H5" s="15" t="s">
        <v>57</v>
      </c>
      <c r="I5" s="15" t="s">
        <v>58</v>
      </c>
      <c r="J5" s="15" t="s">
        <v>57</v>
      </c>
      <c r="K5" s="15" t="s">
        <v>58</v>
      </c>
      <c r="L5" s="15" t="s">
        <v>57</v>
      </c>
      <c r="M5" s="15" t="s">
        <v>59</v>
      </c>
    </row>
    <row r="6" spans="1:13" x14ac:dyDescent="0.4">
      <c r="A6" s="10">
        <v>2</v>
      </c>
      <c r="B6" s="11" t="s">
        <v>60</v>
      </c>
      <c r="C6" s="12" t="s">
        <v>60</v>
      </c>
      <c r="D6" s="12" t="s">
        <v>54</v>
      </c>
      <c r="E6" s="12" t="s">
        <v>61</v>
      </c>
      <c r="F6" s="13"/>
      <c r="G6" s="14" t="s">
        <v>56</v>
      </c>
      <c r="H6" s="15" t="s">
        <v>58</v>
      </c>
      <c r="I6" s="15" t="s">
        <v>62</v>
      </c>
      <c r="J6" s="15" t="s">
        <v>58</v>
      </c>
      <c r="K6" s="15" t="s">
        <v>62</v>
      </c>
      <c r="L6" s="15" t="s">
        <v>59</v>
      </c>
      <c r="M6" s="15" t="s">
        <v>59</v>
      </c>
    </row>
    <row r="7" spans="1:13" x14ac:dyDescent="0.4">
      <c r="A7" s="10">
        <v>3</v>
      </c>
      <c r="B7" s="11" t="s">
        <v>63</v>
      </c>
      <c r="C7" s="12" t="s">
        <v>63</v>
      </c>
      <c r="D7" s="12" t="s">
        <v>54</v>
      </c>
      <c r="E7" s="12" t="s">
        <v>61</v>
      </c>
      <c r="F7" s="13"/>
      <c r="G7" s="14" t="s">
        <v>56</v>
      </c>
      <c r="H7" s="15" t="s">
        <v>62</v>
      </c>
      <c r="I7" s="15" t="s">
        <v>58</v>
      </c>
      <c r="J7" s="15" t="s">
        <v>62</v>
      </c>
      <c r="K7" s="15" t="s">
        <v>58</v>
      </c>
      <c r="L7" s="15" t="s">
        <v>59</v>
      </c>
      <c r="M7" s="15" t="s">
        <v>59</v>
      </c>
    </row>
    <row r="8" spans="1:13" x14ac:dyDescent="0.4">
      <c r="A8" s="10">
        <v>4</v>
      </c>
      <c r="B8" s="11" t="s">
        <v>64</v>
      </c>
      <c r="C8" s="12" t="s">
        <v>65</v>
      </c>
      <c r="D8" s="12" t="s">
        <v>54</v>
      </c>
      <c r="E8" s="12" t="s">
        <v>66</v>
      </c>
      <c r="F8" s="13"/>
      <c r="G8" s="14" t="s">
        <v>56</v>
      </c>
      <c r="H8" s="15" t="s">
        <v>67</v>
      </c>
      <c r="I8" s="15" t="s">
        <v>68</v>
      </c>
      <c r="J8" s="15" t="s">
        <v>69</v>
      </c>
      <c r="K8" s="15" t="s">
        <v>70</v>
      </c>
      <c r="L8" s="15" t="s">
        <v>71</v>
      </c>
      <c r="M8" s="15" t="s">
        <v>69</v>
      </c>
    </row>
    <row r="9" spans="1:13" x14ac:dyDescent="0.4">
      <c r="A9" s="10">
        <v>5</v>
      </c>
      <c r="B9" s="11" t="s">
        <v>72</v>
      </c>
      <c r="C9" s="12" t="s">
        <v>73</v>
      </c>
      <c r="D9" s="12" t="s">
        <v>54</v>
      </c>
      <c r="E9" s="12" t="s">
        <v>66</v>
      </c>
      <c r="F9" s="13"/>
      <c r="G9" s="14" t="s">
        <v>56</v>
      </c>
      <c r="H9" s="15" t="s">
        <v>71</v>
      </c>
      <c r="I9" s="15" t="s">
        <v>70</v>
      </c>
      <c r="J9" s="15" t="s">
        <v>69</v>
      </c>
      <c r="K9" s="15" t="s">
        <v>69</v>
      </c>
      <c r="L9" s="15" t="s">
        <v>74</v>
      </c>
      <c r="M9" s="15" t="s">
        <v>71</v>
      </c>
    </row>
    <row r="10" spans="1:13" x14ac:dyDescent="0.4">
      <c r="A10" s="10">
        <v>6</v>
      </c>
      <c r="B10" s="11" t="s">
        <v>75</v>
      </c>
      <c r="C10" s="12" t="s">
        <v>76</v>
      </c>
      <c r="D10" s="12" t="s">
        <v>54</v>
      </c>
      <c r="E10" s="12" t="s">
        <v>66</v>
      </c>
      <c r="F10" s="13"/>
      <c r="G10" s="14" t="s">
        <v>56</v>
      </c>
      <c r="H10" s="15" t="s">
        <v>71</v>
      </c>
      <c r="I10" s="15" t="s">
        <v>67</v>
      </c>
      <c r="J10" s="15" t="s">
        <v>71</v>
      </c>
      <c r="K10" s="15" t="s">
        <v>69</v>
      </c>
      <c r="L10" s="15" t="s">
        <v>69</v>
      </c>
      <c r="M10" s="15" t="s">
        <v>69</v>
      </c>
    </row>
    <row r="11" spans="1:13" x14ac:dyDescent="0.4">
      <c r="A11" s="10">
        <v>7</v>
      </c>
      <c r="B11" s="11" t="s">
        <v>77</v>
      </c>
      <c r="C11" s="12" t="s">
        <v>78</v>
      </c>
      <c r="D11" s="12" t="s">
        <v>54</v>
      </c>
      <c r="E11" s="12" t="s">
        <v>66</v>
      </c>
      <c r="F11" s="13"/>
      <c r="G11" s="14" t="s">
        <v>56</v>
      </c>
      <c r="H11" s="15" t="s">
        <v>71</v>
      </c>
      <c r="I11" s="15" t="s">
        <v>69</v>
      </c>
      <c r="J11" s="15" t="s">
        <v>67</v>
      </c>
      <c r="K11" s="15" t="s">
        <v>70</v>
      </c>
      <c r="L11" s="15" t="s">
        <v>69</v>
      </c>
      <c r="M11" s="15" t="s">
        <v>68</v>
      </c>
    </row>
    <row r="12" spans="1:13" x14ac:dyDescent="0.4">
      <c r="A12" s="10">
        <v>8</v>
      </c>
      <c r="B12" s="11" t="s">
        <v>79</v>
      </c>
      <c r="C12" s="12" t="s">
        <v>80</v>
      </c>
      <c r="D12" s="12" t="s">
        <v>54</v>
      </c>
      <c r="E12" s="12" t="s">
        <v>66</v>
      </c>
      <c r="F12" s="13"/>
      <c r="G12" s="14" t="s">
        <v>56</v>
      </c>
      <c r="H12" s="15" t="s">
        <v>67</v>
      </c>
      <c r="I12" s="15" t="s">
        <v>69</v>
      </c>
      <c r="J12" s="15" t="s">
        <v>70</v>
      </c>
      <c r="K12" s="15" t="s">
        <v>70</v>
      </c>
      <c r="L12" s="15" t="s">
        <v>68</v>
      </c>
      <c r="M12" s="15" t="s">
        <v>68</v>
      </c>
    </row>
    <row r="13" spans="1:13" x14ac:dyDescent="0.4">
      <c r="A13" s="10">
        <v>9</v>
      </c>
      <c r="B13" s="11" t="s">
        <v>81</v>
      </c>
      <c r="C13" s="12" t="s">
        <v>81</v>
      </c>
      <c r="D13" s="12" t="s">
        <v>54</v>
      </c>
      <c r="E13" s="12" t="s">
        <v>66</v>
      </c>
      <c r="F13" s="13"/>
      <c r="G13" s="14" t="s">
        <v>56</v>
      </c>
      <c r="H13" s="15" t="s">
        <v>69</v>
      </c>
      <c r="I13" s="15" t="s">
        <v>69</v>
      </c>
      <c r="J13" s="15" t="s">
        <v>69</v>
      </c>
      <c r="K13" s="15" t="s">
        <v>69</v>
      </c>
      <c r="L13" s="15" t="s">
        <v>74</v>
      </c>
      <c r="M13" s="15" t="s">
        <v>69</v>
      </c>
    </row>
    <row r="14" spans="1:13" x14ac:dyDescent="0.4">
      <c r="A14" s="16">
        <v>10</v>
      </c>
      <c r="B14" s="17" t="s">
        <v>53</v>
      </c>
      <c r="C14" s="18" t="s">
        <v>53</v>
      </c>
      <c r="D14" s="18" t="s">
        <v>82</v>
      </c>
      <c r="E14" s="18" t="s">
        <v>55</v>
      </c>
      <c r="F14" s="13"/>
      <c r="G14" s="14" t="s">
        <v>56</v>
      </c>
      <c r="H14" s="15" t="s">
        <v>58</v>
      </c>
      <c r="I14" s="15" t="s">
        <v>83</v>
      </c>
      <c r="J14" s="15" t="s">
        <v>58</v>
      </c>
      <c r="K14" s="15" t="s">
        <v>83</v>
      </c>
      <c r="L14" s="15" t="s">
        <v>59</v>
      </c>
      <c r="M14" s="15" t="s">
        <v>83</v>
      </c>
    </row>
    <row r="15" spans="1:13" x14ac:dyDescent="0.4">
      <c r="A15" s="16">
        <v>11</v>
      </c>
      <c r="B15" s="17" t="s">
        <v>84</v>
      </c>
      <c r="C15" s="18" t="s">
        <v>84</v>
      </c>
      <c r="D15" s="18" t="s">
        <v>82</v>
      </c>
      <c r="E15" s="18" t="s">
        <v>61</v>
      </c>
      <c r="F15" s="13"/>
      <c r="G15" s="14" t="s">
        <v>56</v>
      </c>
      <c r="H15" s="15" t="s">
        <v>62</v>
      </c>
      <c r="I15" s="15" t="s">
        <v>58</v>
      </c>
      <c r="J15" s="15" t="s">
        <v>62</v>
      </c>
      <c r="K15" s="15" t="s">
        <v>58</v>
      </c>
      <c r="L15" s="15" t="s">
        <v>59</v>
      </c>
      <c r="M15" s="15" t="s">
        <v>59</v>
      </c>
    </row>
    <row r="16" spans="1:13" x14ac:dyDescent="0.4">
      <c r="A16" s="16">
        <v>12</v>
      </c>
      <c r="B16" s="17" t="s">
        <v>85</v>
      </c>
      <c r="C16" s="18" t="s">
        <v>85</v>
      </c>
      <c r="D16" s="18" t="s">
        <v>82</v>
      </c>
      <c r="E16" s="18" t="s">
        <v>61</v>
      </c>
      <c r="F16" s="13"/>
      <c r="G16" s="14" t="s">
        <v>56</v>
      </c>
      <c r="H16" s="15" t="s">
        <v>86</v>
      </c>
      <c r="I16" s="15" t="s">
        <v>86</v>
      </c>
      <c r="J16" s="15" t="s">
        <v>86</v>
      </c>
      <c r="K16" s="15" t="s">
        <v>86</v>
      </c>
      <c r="L16" s="15" t="s">
        <v>86</v>
      </c>
      <c r="M16" s="14" t="s">
        <v>56</v>
      </c>
    </row>
    <row r="17" spans="1:13" x14ac:dyDescent="0.4">
      <c r="A17" s="16">
        <v>13</v>
      </c>
      <c r="B17" s="17" t="s">
        <v>87</v>
      </c>
      <c r="C17" s="18" t="s">
        <v>88</v>
      </c>
      <c r="D17" s="18" t="s">
        <v>82</v>
      </c>
      <c r="E17" s="18" t="s">
        <v>66</v>
      </c>
      <c r="F17" s="13"/>
      <c r="G17" s="14" t="s">
        <v>56</v>
      </c>
      <c r="H17" s="15" t="s">
        <v>67</v>
      </c>
      <c r="I17" s="15" t="s">
        <v>89</v>
      </c>
      <c r="J17" s="15" t="s">
        <v>69</v>
      </c>
      <c r="K17" s="15" t="s">
        <v>70</v>
      </c>
      <c r="L17" s="15" t="s">
        <v>74</v>
      </c>
      <c r="M17" s="15" t="s">
        <v>69</v>
      </c>
    </row>
    <row r="18" spans="1:13" x14ac:dyDescent="0.4">
      <c r="A18" s="16">
        <v>14</v>
      </c>
      <c r="B18" s="17" t="s">
        <v>90</v>
      </c>
      <c r="C18" s="18" t="s">
        <v>91</v>
      </c>
      <c r="D18" s="18" t="s">
        <v>82</v>
      </c>
      <c r="E18" s="18" t="s">
        <v>66</v>
      </c>
      <c r="F18" s="13"/>
      <c r="G18" s="14" t="s">
        <v>56</v>
      </c>
      <c r="H18" s="15" t="s">
        <v>68</v>
      </c>
      <c r="I18" s="15" t="s">
        <v>89</v>
      </c>
      <c r="J18" s="15" t="s">
        <v>69</v>
      </c>
      <c r="K18" s="15" t="s">
        <v>71</v>
      </c>
      <c r="L18" s="15" t="s">
        <v>74</v>
      </c>
      <c r="M18" s="15" t="s">
        <v>69</v>
      </c>
    </row>
    <row r="19" spans="1:13" x14ac:dyDescent="0.4">
      <c r="A19" s="16">
        <v>15</v>
      </c>
      <c r="B19" s="17" t="s">
        <v>92</v>
      </c>
      <c r="C19" s="18" t="s">
        <v>93</v>
      </c>
      <c r="D19" s="18" t="s">
        <v>82</v>
      </c>
      <c r="E19" s="18" t="s">
        <v>66</v>
      </c>
      <c r="F19" s="13"/>
      <c r="G19" s="14" t="s">
        <v>56</v>
      </c>
      <c r="H19" s="15" t="s">
        <v>67</v>
      </c>
      <c r="I19" s="15" t="s">
        <v>70</v>
      </c>
      <c r="J19" s="15" t="s">
        <v>67</v>
      </c>
      <c r="K19" s="15" t="s">
        <v>74</v>
      </c>
      <c r="L19" s="15" t="s">
        <v>71</v>
      </c>
      <c r="M19" s="15" t="s">
        <v>68</v>
      </c>
    </row>
    <row r="20" spans="1:13" x14ac:dyDescent="0.4">
      <c r="A20" s="16">
        <v>16</v>
      </c>
      <c r="B20" s="17" t="s">
        <v>94</v>
      </c>
      <c r="C20" s="18" t="s">
        <v>95</v>
      </c>
      <c r="D20" s="18" t="s">
        <v>82</v>
      </c>
      <c r="E20" s="18" t="s">
        <v>66</v>
      </c>
      <c r="F20" s="13"/>
      <c r="G20" s="14" t="s">
        <v>56</v>
      </c>
      <c r="H20" s="15" t="s">
        <v>71</v>
      </c>
      <c r="I20" s="15" t="s">
        <v>69</v>
      </c>
      <c r="J20" s="15" t="s">
        <v>67</v>
      </c>
      <c r="K20" s="15" t="s">
        <v>70</v>
      </c>
      <c r="L20" s="15" t="s">
        <v>69</v>
      </c>
      <c r="M20" s="15" t="s">
        <v>68</v>
      </c>
    </row>
    <row r="21" spans="1:13" x14ac:dyDescent="0.4">
      <c r="A21" s="19">
        <v>17</v>
      </c>
      <c r="B21" s="20" t="s">
        <v>96</v>
      </c>
      <c r="C21" s="21" t="s">
        <v>96</v>
      </c>
      <c r="D21" s="21" t="s">
        <v>97</v>
      </c>
      <c r="E21" s="21" t="s">
        <v>98</v>
      </c>
      <c r="F21" s="13"/>
      <c r="G21" s="14" t="s">
        <v>56</v>
      </c>
      <c r="H21" s="15" t="s">
        <v>99</v>
      </c>
      <c r="I21" s="15" t="s">
        <v>99</v>
      </c>
      <c r="J21" s="15" t="s">
        <v>99</v>
      </c>
      <c r="K21" s="15" t="s">
        <v>99</v>
      </c>
      <c r="L21" s="15" t="s">
        <v>99</v>
      </c>
      <c r="M21" s="15" t="s">
        <v>99</v>
      </c>
    </row>
    <row r="22" spans="1:13" x14ac:dyDescent="0.4">
      <c r="A22" s="19">
        <v>18</v>
      </c>
      <c r="B22" s="20" t="s">
        <v>100</v>
      </c>
      <c r="C22" s="21" t="s">
        <v>100</v>
      </c>
      <c r="D22" s="21" t="s">
        <v>97</v>
      </c>
      <c r="E22" s="21" t="s">
        <v>101</v>
      </c>
      <c r="F22" s="13"/>
      <c r="G22" s="14" t="s">
        <v>56</v>
      </c>
      <c r="H22" s="15" t="s">
        <v>99</v>
      </c>
      <c r="I22" s="15" t="s">
        <v>99</v>
      </c>
      <c r="J22" s="15" t="s">
        <v>99</v>
      </c>
      <c r="K22" s="15" t="s">
        <v>99</v>
      </c>
      <c r="L22" s="15" t="s">
        <v>99</v>
      </c>
      <c r="M22" s="15" t="s">
        <v>99</v>
      </c>
    </row>
    <row r="23" spans="1:13" x14ac:dyDescent="0.4">
      <c r="A23" s="19">
        <v>19</v>
      </c>
      <c r="B23" s="20" t="s">
        <v>102</v>
      </c>
      <c r="C23" s="21" t="s">
        <v>102</v>
      </c>
      <c r="D23" s="21" t="s">
        <v>97</v>
      </c>
      <c r="E23" s="21" t="s">
        <v>103</v>
      </c>
      <c r="F23" s="13"/>
      <c r="G23" s="14" t="s">
        <v>56</v>
      </c>
      <c r="H23" s="15" t="s">
        <v>99</v>
      </c>
      <c r="I23" s="15" t="s">
        <v>99</v>
      </c>
      <c r="J23" s="15" t="s">
        <v>99</v>
      </c>
      <c r="K23" s="15" t="s">
        <v>99</v>
      </c>
      <c r="L23" s="15" t="s">
        <v>99</v>
      </c>
      <c r="M23" s="15" t="s">
        <v>99</v>
      </c>
    </row>
    <row r="24" spans="1:13" x14ac:dyDescent="0.4">
      <c r="A24" s="19">
        <v>20</v>
      </c>
      <c r="B24" s="20" t="s">
        <v>104</v>
      </c>
      <c r="C24" s="21" t="s">
        <v>104</v>
      </c>
      <c r="D24" s="21" t="s">
        <v>97</v>
      </c>
      <c r="E24" s="21" t="s">
        <v>105</v>
      </c>
      <c r="F24" s="13"/>
      <c r="G24" s="15" t="s">
        <v>106</v>
      </c>
      <c r="H24" s="15" t="s">
        <v>99</v>
      </c>
      <c r="I24" s="15" t="s">
        <v>99</v>
      </c>
      <c r="J24" s="15" t="s">
        <v>99</v>
      </c>
      <c r="K24" s="15" t="s">
        <v>99</v>
      </c>
      <c r="L24" s="15" t="s">
        <v>99</v>
      </c>
      <c r="M24" s="15" t="s">
        <v>106</v>
      </c>
    </row>
    <row r="26" spans="1:13" x14ac:dyDescent="0.4">
      <c r="A26" s="22" t="s">
        <v>107</v>
      </c>
    </row>
    <row r="27" spans="1:13" x14ac:dyDescent="0.4">
      <c r="A27" s="22" t="s">
        <v>108</v>
      </c>
    </row>
    <row r="28" spans="1:13" x14ac:dyDescent="0.4">
      <c r="A28" s="22" t="s">
        <v>109</v>
      </c>
    </row>
    <row r="29" spans="1:13" x14ac:dyDescent="0.4">
      <c r="A29" s="22" t="s">
        <v>110</v>
      </c>
    </row>
    <row r="30" spans="1:13" x14ac:dyDescent="0.4">
      <c r="A30" s="22" t="s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5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4" customWidth="1"/>
    <col min="2" max="2" width="16" customWidth="1"/>
    <col min="3" max="3" width="10" customWidth="1"/>
    <col min="4" max="4" width="12" customWidth="1"/>
    <col min="5" max="35" width="4.3828125" customWidth="1"/>
    <col min="36" max="37" width="10" customWidth="1"/>
  </cols>
  <sheetData>
    <row r="1" spans="1:37" ht="16.3" x14ac:dyDescent="0.4">
      <c r="A1" s="23" t="s">
        <v>112</v>
      </c>
    </row>
    <row r="2" spans="1:37" x14ac:dyDescent="0.4">
      <c r="A2" s="24" t="s">
        <v>113</v>
      </c>
      <c r="B2" s="25">
        <v>8</v>
      </c>
      <c r="C2" s="24" t="s">
        <v>114</v>
      </c>
      <c r="D2" s="25">
        <v>2026</v>
      </c>
      <c r="E2" s="26" t="s">
        <v>115</v>
      </c>
    </row>
    <row r="3" spans="1:37" x14ac:dyDescent="0.4">
      <c r="A3" s="9" t="s">
        <v>40</v>
      </c>
      <c r="B3" s="9" t="s">
        <v>116</v>
      </c>
      <c r="C3" s="9" t="s">
        <v>43</v>
      </c>
      <c r="D3" s="9" t="s">
        <v>44</v>
      </c>
      <c r="E3" s="27">
        <v>1</v>
      </c>
      <c r="F3" s="27">
        <v>2</v>
      </c>
      <c r="G3" s="27">
        <v>3</v>
      </c>
      <c r="H3" s="27">
        <v>4</v>
      </c>
      <c r="I3" s="27">
        <v>5</v>
      </c>
      <c r="J3" s="27">
        <v>6</v>
      </c>
      <c r="K3" s="27">
        <v>7</v>
      </c>
      <c r="L3" s="27">
        <v>8</v>
      </c>
      <c r="M3" s="27">
        <v>9</v>
      </c>
      <c r="N3" s="27">
        <v>10</v>
      </c>
      <c r="O3" s="27">
        <v>11</v>
      </c>
      <c r="P3" s="27">
        <v>12</v>
      </c>
      <c r="Q3" s="27">
        <v>13</v>
      </c>
      <c r="R3" s="27">
        <v>14</v>
      </c>
      <c r="S3" s="27">
        <v>15</v>
      </c>
      <c r="T3" s="27">
        <v>16</v>
      </c>
      <c r="U3" s="27">
        <v>17</v>
      </c>
      <c r="V3" s="27">
        <v>18</v>
      </c>
      <c r="W3" s="27">
        <v>19</v>
      </c>
      <c r="X3" s="27">
        <v>20</v>
      </c>
      <c r="Y3" s="27">
        <v>21</v>
      </c>
      <c r="Z3" s="27">
        <v>22</v>
      </c>
      <c r="AA3" s="27">
        <v>23</v>
      </c>
      <c r="AB3" s="27">
        <v>24</v>
      </c>
      <c r="AC3" s="27">
        <v>25</v>
      </c>
      <c r="AD3" s="27">
        <v>26</v>
      </c>
      <c r="AE3" s="27">
        <v>27</v>
      </c>
      <c r="AF3" s="27">
        <v>28</v>
      </c>
      <c r="AG3" s="27">
        <v>29</v>
      </c>
      <c r="AH3" s="27">
        <v>30</v>
      </c>
      <c r="AI3" s="27">
        <v>31</v>
      </c>
      <c r="AJ3" s="27" t="s">
        <v>117</v>
      </c>
      <c r="AK3" s="27" t="s">
        <v>118</v>
      </c>
    </row>
    <row r="4" spans="1:37" x14ac:dyDescent="0.4">
      <c r="A4" s="28"/>
      <c r="B4" s="28"/>
      <c r="C4" s="28"/>
      <c r="D4" s="28"/>
      <c r="E4" s="29" t="s">
        <v>51</v>
      </c>
      <c r="F4" s="30" t="s">
        <v>52</v>
      </c>
      <c r="G4" s="29" t="s">
        <v>46</v>
      </c>
      <c r="H4" s="29" t="s">
        <v>47</v>
      </c>
      <c r="I4" s="29" t="s">
        <v>48</v>
      </c>
      <c r="J4" s="29" t="s">
        <v>49</v>
      </c>
      <c r="K4" s="29" t="s">
        <v>50</v>
      </c>
      <c r="L4" s="29" t="s">
        <v>51</v>
      </c>
      <c r="M4" s="30" t="s">
        <v>52</v>
      </c>
      <c r="N4" s="29" t="s">
        <v>46</v>
      </c>
      <c r="O4" s="29" t="s">
        <v>47</v>
      </c>
      <c r="P4" s="29" t="s">
        <v>48</v>
      </c>
      <c r="Q4" s="29" t="s">
        <v>49</v>
      </c>
      <c r="R4" s="29" t="s">
        <v>50</v>
      </c>
      <c r="S4" s="29" t="s">
        <v>51</v>
      </c>
      <c r="T4" s="30" t="s">
        <v>52</v>
      </c>
      <c r="U4" s="29" t="s">
        <v>46</v>
      </c>
      <c r="V4" s="29" t="s">
        <v>47</v>
      </c>
      <c r="W4" s="29" t="s">
        <v>48</v>
      </c>
      <c r="X4" s="29" t="s">
        <v>49</v>
      </c>
      <c r="Y4" s="29" t="s">
        <v>50</v>
      </c>
      <c r="Z4" s="29" t="s">
        <v>51</v>
      </c>
      <c r="AA4" s="30" t="s">
        <v>52</v>
      </c>
      <c r="AB4" s="29" t="s">
        <v>46</v>
      </c>
      <c r="AC4" s="29" t="s">
        <v>47</v>
      </c>
      <c r="AD4" s="29" t="s">
        <v>48</v>
      </c>
      <c r="AE4" s="29" t="s">
        <v>49</v>
      </c>
      <c r="AF4" s="29" t="s">
        <v>50</v>
      </c>
      <c r="AG4" s="29" t="s">
        <v>51</v>
      </c>
      <c r="AH4" s="30" t="s">
        <v>52</v>
      </c>
      <c r="AI4" s="29" t="s">
        <v>46</v>
      </c>
      <c r="AJ4" s="28"/>
      <c r="AK4" s="28"/>
    </row>
    <row r="5" spans="1:37" x14ac:dyDescent="0.4">
      <c r="A5" s="31" t="s">
        <v>119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 spans="1:37" x14ac:dyDescent="0.4">
      <c r="A6" s="33">
        <v>1</v>
      </c>
      <c r="B6" s="34" t="s">
        <v>53</v>
      </c>
      <c r="C6" s="35" t="s">
        <v>54</v>
      </c>
      <c r="D6" s="35" t="s">
        <v>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7" t="s">
        <v>57</v>
      </c>
      <c r="Y6" s="37" t="s">
        <v>58</v>
      </c>
      <c r="Z6" s="37" t="s">
        <v>57</v>
      </c>
      <c r="AA6" s="38" t="s">
        <v>59</v>
      </c>
      <c r="AB6" s="39" t="s">
        <v>56</v>
      </c>
      <c r="AC6" s="37" t="s">
        <v>57</v>
      </c>
      <c r="AD6" s="37" t="s">
        <v>58</v>
      </c>
      <c r="AE6" s="37" t="s">
        <v>57</v>
      </c>
      <c r="AF6" s="37" t="s">
        <v>58</v>
      </c>
      <c r="AG6" s="37" t="s">
        <v>57</v>
      </c>
      <c r="AH6" s="38" t="s">
        <v>59</v>
      </c>
      <c r="AI6" s="39" t="s">
        <v>56</v>
      </c>
      <c r="AJ6" s="37">
        <f t="shared" ref="AJ6:AJ14" si="0">COUNTA(E6:AI6)-COUNTIF(E6:AI6,"X")-COUNTIF(E6:AI6,"P")</f>
        <v>10</v>
      </c>
      <c r="AK6" s="37">
        <f t="shared" ref="AK6:AK14" si="1">COUNTIF(E6:AI6,"X")+COUNTIF(E6:AI6,"P")</f>
        <v>2</v>
      </c>
    </row>
    <row r="7" spans="1:37" x14ac:dyDescent="0.4">
      <c r="A7" s="33">
        <v>2</v>
      </c>
      <c r="B7" s="34" t="s">
        <v>60</v>
      </c>
      <c r="C7" s="35" t="s">
        <v>54</v>
      </c>
      <c r="D7" s="35" t="s">
        <v>61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7" t="s">
        <v>58</v>
      </c>
      <c r="Y7" s="37" t="s">
        <v>62</v>
      </c>
      <c r="Z7" s="37" t="s">
        <v>59</v>
      </c>
      <c r="AA7" s="38" t="s">
        <v>59</v>
      </c>
      <c r="AB7" s="39" t="s">
        <v>56</v>
      </c>
      <c r="AC7" s="37" t="s">
        <v>58</v>
      </c>
      <c r="AD7" s="37" t="s">
        <v>62</v>
      </c>
      <c r="AE7" s="37" t="s">
        <v>58</v>
      </c>
      <c r="AF7" s="37" t="s">
        <v>62</v>
      </c>
      <c r="AG7" s="37" t="s">
        <v>59</v>
      </c>
      <c r="AH7" s="38" t="s">
        <v>59</v>
      </c>
      <c r="AI7" s="39" t="s">
        <v>56</v>
      </c>
      <c r="AJ7" s="37">
        <f t="shared" si="0"/>
        <v>10</v>
      </c>
      <c r="AK7" s="37">
        <f t="shared" si="1"/>
        <v>2</v>
      </c>
    </row>
    <row r="8" spans="1:37" x14ac:dyDescent="0.4">
      <c r="A8" s="33">
        <v>3</v>
      </c>
      <c r="B8" s="34" t="s">
        <v>63</v>
      </c>
      <c r="C8" s="35" t="s">
        <v>54</v>
      </c>
      <c r="D8" s="35" t="s">
        <v>61</v>
      </c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7" t="s">
        <v>62</v>
      </c>
      <c r="Y8" s="37" t="s">
        <v>58</v>
      </c>
      <c r="Z8" s="37" t="s">
        <v>59</v>
      </c>
      <c r="AA8" s="38" t="s">
        <v>59</v>
      </c>
      <c r="AB8" s="39" t="s">
        <v>56</v>
      </c>
      <c r="AC8" s="37" t="s">
        <v>62</v>
      </c>
      <c r="AD8" s="37" t="s">
        <v>58</v>
      </c>
      <c r="AE8" s="37" t="s">
        <v>62</v>
      </c>
      <c r="AF8" s="37" t="s">
        <v>58</v>
      </c>
      <c r="AG8" s="37" t="s">
        <v>59</v>
      </c>
      <c r="AH8" s="38" t="s">
        <v>59</v>
      </c>
      <c r="AI8" s="39" t="s">
        <v>56</v>
      </c>
      <c r="AJ8" s="37">
        <f t="shared" si="0"/>
        <v>10</v>
      </c>
      <c r="AK8" s="37">
        <f t="shared" si="1"/>
        <v>2</v>
      </c>
    </row>
    <row r="9" spans="1:37" x14ac:dyDescent="0.4">
      <c r="A9" s="33">
        <v>4</v>
      </c>
      <c r="B9" s="34" t="s">
        <v>64</v>
      </c>
      <c r="C9" s="35" t="s">
        <v>54</v>
      </c>
      <c r="D9" s="35" t="s">
        <v>66</v>
      </c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7"/>
      <c r="Y9" s="37" t="s">
        <v>70</v>
      </c>
      <c r="Z9" s="37" t="s">
        <v>71</v>
      </c>
      <c r="AA9" s="38"/>
      <c r="AB9" s="39" t="s">
        <v>56</v>
      </c>
      <c r="AC9" s="37" t="s">
        <v>67</v>
      </c>
      <c r="AD9" s="37" t="s">
        <v>68</v>
      </c>
      <c r="AE9" s="37"/>
      <c r="AF9" s="37" t="s">
        <v>70</v>
      </c>
      <c r="AG9" s="37" t="s">
        <v>71</v>
      </c>
      <c r="AH9" s="38"/>
      <c r="AI9" s="39" t="s">
        <v>56</v>
      </c>
      <c r="AJ9" s="37">
        <f t="shared" si="0"/>
        <v>6</v>
      </c>
      <c r="AK9" s="37">
        <f t="shared" si="1"/>
        <v>2</v>
      </c>
    </row>
    <row r="10" spans="1:37" x14ac:dyDescent="0.4">
      <c r="A10" s="33">
        <v>5</v>
      </c>
      <c r="B10" s="34" t="s">
        <v>72</v>
      </c>
      <c r="C10" s="35" t="s">
        <v>54</v>
      </c>
      <c r="D10" s="35" t="s">
        <v>66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7"/>
      <c r="Y10" s="37"/>
      <c r="Z10" s="37" t="s">
        <v>74</v>
      </c>
      <c r="AA10" s="38" t="s">
        <v>71</v>
      </c>
      <c r="AB10" s="39" t="s">
        <v>56</v>
      </c>
      <c r="AC10" s="37" t="s">
        <v>71</v>
      </c>
      <c r="AD10" s="37" t="s">
        <v>70</v>
      </c>
      <c r="AE10" s="37"/>
      <c r="AF10" s="37"/>
      <c r="AG10" s="37" t="s">
        <v>74</v>
      </c>
      <c r="AH10" s="38" t="s">
        <v>71</v>
      </c>
      <c r="AI10" s="39" t="s">
        <v>56</v>
      </c>
      <c r="AJ10" s="37">
        <f t="shared" si="0"/>
        <v>6</v>
      </c>
      <c r="AK10" s="37">
        <f t="shared" si="1"/>
        <v>2</v>
      </c>
    </row>
    <row r="11" spans="1:37" x14ac:dyDescent="0.4">
      <c r="A11" s="33">
        <v>6</v>
      </c>
      <c r="B11" s="34" t="s">
        <v>75</v>
      </c>
      <c r="C11" s="35" t="s">
        <v>54</v>
      </c>
      <c r="D11" s="35" t="s">
        <v>66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7" t="s">
        <v>71</v>
      </c>
      <c r="Y11" s="37"/>
      <c r="Z11" s="37"/>
      <c r="AA11" s="38"/>
      <c r="AB11" s="39" t="s">
        <v>56</v>
      </c>
      <c r="AC11" s="37" t="s">
        <v>71</v>
      </c>
      <c r="AD11" s="37" t="s">
        <v>67</v>
      </c>
      <c r="AE11" s="37" t="s">
        <v>71</v>
      </c>
      <c r="AF11" s="37"/>
      <c r="AG11" s="37"/>
      <c r="AH11" s="38"/>
      <c r="AI11" s="39" t="s">
        <v>56</v>
      </c>
      <c r="AJ11" s="37">
        <f t="shared" si="0"/>
        <v>4</v>
      </c>
      <c r="AK11" s="37">
        <f t="shared" si="1"/>
        <v>2</v>
      </c>
    </row>
    <row r="12" spans="1:37" x14ac:dyDescent="0.4">
      <c r="A12" s="33">
        <v>7</v>
      </c>
      <c r="B12" s="34" t="s">
        <v>77</v>
      </c>
      <c r="C12" s="35" t="s">
        <v>54</v>
      </c>
      <c r="D12" s="35" t="s">
        <v>66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7" t="s">
        <v>67</v>
      </c>
      <c r="Y12" s="37" t="s">
        <v>70</v>
      </c>
      <c r="Z12" s="37"/>
      <c r="AA12" s="38" t="s">
        <v>68</v>
      </c>
      <c r="AB12" s="39" t="s">
        <v>56</v>
      </c>
      <c r="AC12" s="37" t="s">
        <v>71</v>
      </c>
      <c r="AD12" s="37"/>
      <c r="AE12" s="37" t="s">
        <v>67</v>
      </c>
      <c r="AF12" s="37" t="s">
        <v>70</v>
      </c>
      <c r="AG12" s="37"/>
      <c r="AH12" s="38" t="s">
        <v>68</v>
      </c>
      <c r="AI12" s="39" t="s">
        <v>56</v>
      </c>
      <c r="AJ12" s="37">
        <f t="shared" si="0"/>
        <v>7</v>
      </c>
      <c r="AK12" s="37">
        <f t="shared" si="1"/>
        <v>2</v>
      </c>
    </row>
    <row r="13" spans="1:37" x14ac:dyDescent="0.4">
      <c r="A13" s="33">
        <v>8</v>
      </c>
      <c r="B13" s="34" t="s">
        <v>79</v>
      </c>
      <c r="C13" s="35" t="s">
        <v>54</v>
      </c>
      <c r="D13" s="35" t="s">
        <v>66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7" t="s">
        <v>70</v>
      </c>
      <c r="Y13" s="37" t="s">
        <v>70</v>
      </c>
      <c r="Z13" s="37" t="s">
        <v>68</v>
      </c>
      <c r="AA13" s="38" t="s">
        <v>68</v>
      </c>
      <c r="AB13" s="39" t="s">
        <v>56</v>
      </c>
      <c r="AC13" s="37" t="s">
        <v>67</v>
      </c>
      <c r="AD13" s="37"/>
      <c r="AE13" s="37" t="s">
        <v>70</v>
      </c>
      <c r="AF13" s="37" t="s">
        <v>70</v>
      </c>
      <c r="AG13" s="37" t="s">
        <v>68</v>
      </c>
      <c r="AH13" s="38" t="s">
        <v>68</v>
      </c>
      <c r="AI13" s="39" t="s">
        <v>56</v>
      </c>
      <c r="AJ13" s="37">
        <f t="shared" si="0"/>
        <v>9</v>
      </c>
      <c r="AK13" s="37">
        <f t="shared" si="1"/>
        <v>2</v>
      </c>
    </row>
    <row r="14" spans="1:37" x14ac:dyDescent="0.4">
      <c r="A14" s="33">
        <v>9</v>
      </c>
      <c r="B14" s="34" t="s">
        <v>81</v>
      </c>
      <c r="C14" s="35" t="s">
        <v>54</v>
      </c>
      <c r="D14" s="35" t="s">
        <v>66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7"/>
      <c r="Z14" s="37" t="s">
        <v>74</v>
      </c>
      <c r="AA14" s="38"/>
      <c r="AB14" s="39" t="s">
        <v>56</v>
      </c>
      <c r="AC14" s="37"/>
      <c r="AD14" s="37"/>
      <c r="AE14" s="37"/>
      <c r="AF14" s="37"/>
      <c r="AG14" s="37" t="s">
        <v>74</v>
      </c>
      <c r="AH14" s="38"/>
      <c r="AI14" s="39" t="s">
        <v>56</v>
      </c>
      <c r="AJ14" s="37">
        <f t="shared" si="0"/>
        <v>2</v>
      </c>
      <c r="AK14" s="37">
        <f t="shared" si="1"/>
        <v>2</v>
      </c>
    </row>
    <row r="15" spans="1:37" x14ac:dyDescent="0.4">
      <c r="A15" s="40" t="s">
        <v>120</v>
      </c>
      <c r="B15" s="41"/>
      <c r="C15" s="41"/>
      <c r="D15" s="41"/>
      <c r="E15" s="41">
        <f t="shared" ref="E15:AI15" si="2">COUNTA(E6:E14)-COUNTIF(E6:E14,"X")-COUNTIF(E6:E14,"P")</f>
        <v>0</v>
      </c>
      <c r="F15" s="41">
        <f t="shared" si="2"/>
        <v>0</v>
      </c>
      <c r="G15" s="41">
        <f t="shared" si="2"/>
        <v>0</v>
      </c>
      <c r="H15" s="41">
        <f t="shared" si="2"/>
        <v>0</v>
      </c>
      <c r="I15" s="41">
        <f t="shared" si="2"/>
        <v>0</v>
      </c>
      <c r="J15" s="41">
        <f t="shared" si="2"/>
        <v>0</v>
      </c>
      <c r="K15" s="41">
        <f t="shared" si="2"/>
        <v>0</v>
      </c>
      <c r="L15" s="41">
        <f t="shared" si="2"/>
        <v>0</v>
      </c>
      <c r="M15" s="41">
        <f t="shared" si="2"/>
        <v>0</v>
      </c>
      <c r="N15" s="41">
        <f t="shared" si="2"/>
        <v>0</v>
      </c>
      <c r="O15" s="41">
        <f t="shared" si="2"/>
        <v>0</v>
      </c>
      <c r="P15" s="41">
        <f t="shared" si="2"/>
        <v>0</v>
      </c>
      <c r="Q15" s="41">
        <f t="shared" si="2"/>
        <v>0</v>
      </c>
      <c r="R15" s="41">
        <f t="shared" si="2"/>
        <v>0</v>
      </c>
      <c r="S15" s="41">
        <f t="shared" si="2"/>
        <v>0</v>
      </c>
      <c r="T15" s="41">
        <f t="shared" si="2"/>
        <v>0</v>
      </c>
      <c r="U15" s="41">
        <f t="shared" si="2"/>
        <v>0</v>
      </c>
      <c r="V15" s="41">
        <f t="shared" si="2"/>
        <v>0</v>
      </c>
      <c r="W15" s="41">
        <f t="shared" si="2"/>
        <v>0</v>
      </c>
      <c r="X15" s="41">
        <f t="shared" si="2"/>
        <v>6</v>
      </c>
      <c r="Y15" s="41">
        <f t="shared" si="2"/>
        <v>6</v>
      </c>
      <c r="Z15" s="41">
        <f t="shared" si="2"/>
        <v>7</v>
      </c>
      <c r="AA15" s="41">
        <f t="shared" si="2"/>
        <v>6</v>
      </c>
      <c r="AB15" s="41">
        <f t="shared" si="2"/>
        <v>0</v>
      </c>
      <c r="AC15" s="41">
        <f t="shared" si="2"/>
        <v>8</v>
      </c>
      <c r="AD15" s="41">
        <f t="shared" si="2"/>
        <v>6</v>
      </c>
      <c r="AE15" s="41">
        <f t="shared" si="2"/>
        <v>6</v>
      </c>
      <c r="AF15" s="41">
        <f t="shared" si="2"/>
        <v>6</v>
      </c>
      <c r="AG15" s="41">
        <f t="shared" si="2"/>
        <v>7</v>
      </c>
      <c r="AH15" s="41">
        <f t="shared" si="2"/>
        <v>6</v>
      </c>
      <c r="AI15" s="41">
        <f t="shared" si="2"/>
        <v>0</v>
      </c>
      <c r="AJ15" s="41">
        <f>SUM(AJ6:AJ14)</f>
        <v>64</v>
      </c>
      <c r="AK15" s="41">
        <f>SUM(AK6:AK14)</f>
        <v>18</v>
      </c>
    </row>
    <row r="17" spans="1:37" x14ac:dyDescent="0.4">
      <c r="A17" s="42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</row>
    <row r="18" spans="1:37" x14ac:dyDescent="0.4">
      <c r="A18" s="44">
        <v>10</v>
      </c>
      <c r="B18" s="45" t="s">
        <v>53</v>
      </c>
      <c r="C18" s="46" t="s">
        <v>82</v>
      </c>
      <c r="D18" s="46" t="s">
        <v>55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7" t="s">
        <v>58</v>
      </c>
      <c r="Y18" s="37" t="s">
        <v>83</v>
      </c>
      <c r="Z18" s="37" t="s">
        <v>59</v>
      </c>
      <c r="AA18" s="38" t="s">
        <v>83</v>
      </c>
      <c r="AB18" s="39" t="s">
        <v>56</v>
      </c>
      <c r="AC18" s="37" t="s">
        <v>58</v>
      </c>
      <c r="AD18" s="37" t="s">
        <v>83</v>
      </c>
      <c r="AE18" s="37" t="s">
        <v>58</v>
      </c>
      <c r="AF18" s="37" t="s">
        <v>83</v>
      </c>
      <c r="AG18" s="37" t="s">
        <v>59</v>
      </c>
      <c r="AH18" s="38" t="s">
        <v>83</v>
      </c>
      <c r="AI18" s="39" t="s">
        <v>56</v>
      </c>
      <c r="AJ18" s="37">
        <f t="shared" ref="AJ18:AJ24" si="3">COUNTA(E18:AI18)-COUNTIF(E18:AI18,"X")-COUNTIF(E18:AI18,"P")</f>
        <v>10</v>
      </c>
      <c r="AK18" s="37">
        <f t="shared" ref="AK18:AK24" si="4">COUNTIF(E18:AI18,"X")+COUNTIF(E18:AI18,"P")</f>
        <v>2</v>
      </c>
    </row>
    <row r="19" spans="1:37" x14ac:dyDescent="0.4">
      <c r="A19" s="44">
        <v>11</v>
      </c>
      <c r="B19" s="45" t="s">
        <v>84</v>
      </c>
      <c r="C19" s="46" t="s">
        <v>82</v>
      </c>
      <c r="D19" s="46" t="s">
        <v>61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7" t="s">
        <v>62</v>
      </c>
      <c r="Y19" s="37" t="s">
        <v>58</v>
      </c>
      <c r="Z19" s="37" t="s">
        <v>59</v>
      </c>
      <c r="AA19" s="38" t="s">
        <v>59</v>
      </c>
      <c r="AB19" s="39" t="s">
        <v>56</v>
      </c>
      <c r="AC19" s="37" t="s">
        <v>62</v>
      </c>
      <c r="AD19" s="37" t="s">
        <v>58</v>
      </c>
      <c r="AE19" s="37" t="s">
        <v>62</v>
      </c>
      <c r="AF19" s="37" t="s">
        <v>58</v>
      </c>
      <c r="AG19" s="37" t="s">
        <v>59</v>
      </c>
      <c r="AH19" s="38" t="s">
        <v>59</v>
      </c>
      <c r="AI19" s="39" t="s">
        <v>56</v>
      </c>
      <c r="AJ19" s="37">
        <f t="shared" si="3"/>
        <v>10</v>
      </c>
      <c r="AK19" s="37">
        <f t="shared" si="4"/>
        <v>2</v>
      </c>
    </row>
    <row r="20" spans="1:37" x14ac:dyDescent="0.4">
      <c r="A20" s="44">
        <v>12</v>
      </c>
      <c r="B20" s="45" t="s">
        <v>85</v>
      </c>
      <c r="C20" s="46" t="s">
        <v>82</v>
      </c>
      <c r="D20" s="46" t="s">
        <v>61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7" t="s">
        <v>86</v>
      </c>
      <c r="Y20" s="37" t="s">
        <v>86</v>
      </c>
      <c r="Z20" s="37" t="s">
        <v>86</v>
      </c>
      <c r="AA20" s="39" t="s">
        <v>56</v>
      </c>
      <c r="AB20" s="39" t="s">
        <v>56</v>
      </c>
      <c r="AC20" s="37" t="s">
        <v>86</v>
      </c>
      <c r="AD20" s="37" t="s">
        <v>86</v>
      </c>
      <c r="AE20" s="37" t="s">
        <v>86</v>
      </c>
      <c r="AF20" s="37" t="s">
        <v>86</v>
      </c>
      <c r="AG20" s="37" t="s">
        <v>86</v>
      </c>
      <c r="AH20" s="39" t="s">
        <v>56</v>
      </c>
      <c r="AI20" s="39" t="s">
        <v>56</v>
      </c>
      <c r="AJ20" s="37">
        <f t="shared" si="3"/>
        <v>8</v>
      </c>
      <c r="AK20" s="37">
        <f t="shared" si="4"/>
        <v>4</v>
      </c>
    </row>
    <row r="21" spans="1:37" x14ac:dyDescent="0.4">
      <c r="A21" s="44">
        <v>13</v>
      </c>
      <c r="B21" s="45" t="s">
        <v>87</v>
      </c>
      <c r="C21" s="46" t="s">
        <v>82</v>
      </c>
      <c r="D21" s="46" t="s">
        <v>66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7"/>
      <c r="Y21" s="37" t="s">
        <v>70</v>
      </c>
      <c r="Z21" s="37" t="s">
        <v>74</v>
      </c>
      <c r="AA21" s="38"/>
      <c r="AB21" s="39" t="s">
        <v>56</v>
      </c>
      <c r="AC21" s="37" t="s">
        <v>67</v>
      </c>
      <c r="AD21" s="37" t="s">
        <v>89</v>
      </c>
      <c r="AE21" s="37"/>
      <c r="AF21" s="37" t="s">
        <v>70</v>
      </c>
      <c r="AG21" s="37" t="s">
        <v>74</v>
      </c>
      <c r="AH21" s="38"/>
      <c r="AI21" s="39" t="s">
        <v>56</v>
      </c>
      <c r="AJ21" s="37">
        <f t="shared" si="3"/>
        <v>6</v>
      </c>
      <c r="AK21" s="37">
        <f t="shared" si="4"/>
        <v>2</v>
      </c>
    </row>
    <row r="22" spans="1:37" x14ac:dyDescent="0.4">
      <c r="A22" s="44">
        <v>14</v>
      </c>
      <c r="B22" s="45" t="s">
        <v>90</v>
      </c>
      <c r="C22" s="46" t="s">
        <v>82</v>
      </c>
      <c r="D22" s="46" t="s">
        <v>66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7"/>
      <c r="Y22" s="37" t="s">
        <v>71</v>
      </c>
      <c r="Z22" s="37" t="s">
        <v>74</v>
      </c>
      <c r="AA22" s="38"/>
      <c r="AB22" s="39" t="s">
        <v>56</v>
      </c>
      <c r="AC22" s="37" t="s">
        <v>68</v>
      </c>
      <c r="AD22" s="37" t="s">
        <v>89</v>
      </c>
      <c r="AE22" s="37"/>
      <c r="AF22" s="37" t="s">
        <v>71</v>
      </c>
      <c r="AG22" s="37" t="s">
        <v>74</v>
      </c>
      <c r="AH22" s="38"/>
      <c r="AI22" s="39" t="s">
        <v>56</v>
      </c>
      <c r="AJ22" s="37">
        <f t="shared" si="3"/>
        <v>6</v>
      </c>
      <c r="AK22" s="37">
        <f t="shared" si="4"/>
        <v>2</v>
      </c>
    </row>
    <row r="23" spans="1:37" x14ac:dyDescent="0.4">
      <c r="A23" s="44">
        <v>15</v>
      </c>
      <c r="B23" s="45" t="s">
        <v>92</v>
      </c>
      <c r="C23" s="46" t="s">
        <v>82</v>
      </c>
      <c r="D23" s="46" t="s">
        <v>66</v>
      </c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7" t="s">
        <v>67</v>
      </c>
      <c r="Y23" s="37" t="s">
        <v>74</v>
      </c>
      <c r="Z23" s="37" t="s">
        <v>71</v>
      </c>
      <c r="AA23" s="38" t="s">
        <v>68</v>
      </c>
      <c r="AB23" s="39" t="s">
        <v>56</v>
      </c>
      <c r="AC23" s="37" t="s">
        <v>67</v>
      </c>
      <c r="AD23" s="37" t="s">
        <v>70</v>
      </c>
      <c r="AE23" s="37" t="s">
        <v>67</v>
      </c>
      <c r="AF23" s="37" t="s">
        <v>74</v>
      </c>
      <c r="AG23" s="37" t="s">
        <v>71</v>
      </c>
      <c r="AH23" s="38" t="s">
        <v>68</v>
      </c>
      <c r="AI23" s="39" t="s">
        <v>56</v>
      </c>
      <c r="AJ23" s="37">
        <f t="shared" si="3"/>
        <v>10</v>
      </c>
      <c r="AK23" s="37">
        <f t="shared" si="4"/>
        <v>2</v>
      </c>
    </row>
    <row r="24" spans="1:37" x14ac:dyDescent="0.4">
      <c r="A24" s="44">
        <v>16</v>
      </c>
      <c r="B24" s="45" t="s">
        <v>94</v>
      </c>
      <c r="C24" s="46" t="s">
        <v>82</v>
      </c>
      <c r="D24" s="46" t="s">
        <v>66</v>
      </c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7" t="s">
        <v>67</v>
      </c>
      <c r="Y24" s="37" t="s">
        <v>70</v>
      </c>
      <c r="Z24" s="37"/>
      <c r="AA24" s="38" t="s">
        <v>68</v>
      </c>
      <c r="AB24" s="39" t="s">
        <v>56</v>
      </c>
      <c r="AC24" s="37" t="s">
        <v>71</v>
      </c>
      <c r="AD24" s="37"/>
      <c r="AE24" s="37" t="s">
        <v>67</v>
      </c>
      <c r="AF24" s="37" t="s">
        <v>70</v>
      </c>
      <c r="AG24" s="37"/>
      <c r="AH24" s="38" t="s">
        <v>68</v>
      </c>
      <c r="AI24" s="39" t="s">
        <v>56</v>
      </c>
      <c r="AJ24" s="37">
        <f t="shared" si="3"/>
        <v>7</v>
      </c>
      <c r="AK24" s="37">
        <f t="shared" si="4"/>
        <v>2</v>
      </c>
    </row>
    <row r="25" spans="1:37" x14ac:dyDescent="0.4">
      <c r="A25" s="47" t="s">
        <v>122</v>
      </c>
      <c r="B25" s="48"/>
      <c r="C25" s="48"/>
      <c r="D25" s="48"/>
      <c r="E25" s="48">
        <f t="shared" ref="E25:AI25" si="5">COUNTA(E18:E24)-COUNTIF(E18:E24,"X")-COUNTIF(E18:E24,"P")</f>
        <v>0</v>
      </c>
      <c r="F25" s="48">
        <f t="shared" si="5"/>
        <v>0</v>
      </c>
      <c r="G25" s="48">
        <f t="shared" si="5"/>
        <v>0</v>
      </c>
      <c r="H25" s="48">
        <f t="shared" si="5"/>
        <v>0</v>
      </c>
      <c r="I25" s="48">
        <f t="shared" si="5"/>
        <v>0</v>
      </c>
      <c r="J25" s="48">
        <f t="shared" si="5"/>
        <v>0</v>
      </c>
      <c r="K25" s="48">
        <f t="shared" si="5"/>
        <v>0</v>
      </c>
      <c r="L25" s="48">
        <f t="shared" si="5"/>
        <v>0</v>
      </c>
      <c r="M25" s="48">
        <f t="shared" si="5"/>
        <v>0</v>
      </c>
      <c r="N25" s="48">
        <f t="shared" si="5"/>
        <v>0</v>
      </c>
      <c r="O25" s="48">
        <f t="shared" si="5"/>
        <v>0</v>
      </c>
      <c r="P25" s="48">
        <f t="shared" si="5"/>
        <v>0</v>
      </c>
      <c r="Q25" s="48">
        <f t="shared" si="5"/>
        <v>0</v>
      </c>
      <c r="R25" s="48">
        <f t="shared" si="5"/>
        <v>0</v>
      </c>
      <c r="S25" s="48">
        <f t="shared" si="5"/>
        <v>0</v>
      </c>
      <c r="T25" s="48">
        <f t="shared" si="5"/>
        <v>0</v>
      </c>
      <c r="U25" s="48">
        <f t="shared" si="5"/>
        <v>0</v>
      </c>
      <c r="V25" s="48">
        <f t="shared" si="5"/>
        <v>0</v>
      </c>
      <c r="W25" s="48">
        <f t="shared" si="5"/>
        <v>0</v>
      </c>
      <c r="X25" s="48">
        <f t="shared" si="5"/>
        <v>5</v>
      </c>
      <c r="Y25" s="48">
        <f t="shared" si="5"/>
        <v>7</v>
      </c>
      <c r="Z25" s="48">
        <f t="shared" si="5"/>
        <v>6</v>
      </c>
      <c r="AA25" s="48">
        <f t="shared" si="5"/>
        <v>4</v>
      </c>
      <c r="AB25" s="48">
        <f t="shared" si="5"/>
        <v>0</v>
      </c>
      <c r="AC25" s="48">
        <f t="shared" si="5"/>
        <v>7</v>
      </c>
      <c r="AD25" s="48">
        <f t="shared" si="5"/>
        <v>6</v>
      </c>
      <c r="AE25" s="48">
        <f t="shared" si="5"/>
        <v>5</v>
      </c>
      <c r="AF25" s="48">
        <f t="shared" si="5"/>
        <v>7</v>
      </c>
      <c r="AG25" s="48">
        <f t="shared" si="5"/>
        <v>6</v>
      </c>
      <c r="AH25" s="48">
        <f t="shared" si="5"/>
        <v>4</v>
      </c>
      <c r="AI25" s="48">
        <f t="shared" si="5"/>
        <v>0</v>
      </c>
      <c r="AJ25" s="48">
        <f>SUM(AJ18:AJ24)</f>
        <v>57</v>
      </c>
      <c r="AK25" s="48">
        <f>SUM(AK18:AK24)</f>
        <v>16</v>
      </c>
    </row>
    <row r="27" spans="1:37" x14ac:dyDescent="0.4">
      <c r="A27" s="49" t="s">
        <v>123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</row>
    <row r="28" spans="1:37" x14ac:dyDescent="0.4">
      <c r="A28" s="51">
        <v>17</v>
      </c>
      <c r="B28" s="52" t="s">
        <v>96</v>
      </c>
      <c r="C28" s="53" t="s">
        <v>97</v>
      </c>
      <c r="D28" s="53" t="s">
        <v>98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7" t="s">
        <v>99</v>
      </c>
      <c r="Y28" s="37" t="s">
        <v>99</v>
      </c>
      <c r="Z28" s="37" t="s">
        <v>99</v>
      </c>
      <c r="AA28" s="38" t="s">
        <v>99</v>
      </c>
      <c r="AB28" s="39" t="s">
        <v>56</v>
      </c>
      <c r="AC28" s="37" t="s">
        <v>99</v>
      </c>
      <c r="AD28" s="37" t="s">
        <v>99</v>
      </c>
      <c r="AE28" s="37" t="s">
        <v>99</v>
      </c>
      <c r="AF28" s="37" t="s">
        <v>99</v>
      </c>
      <c r="AG28" s="37" t="s">
        <v>99</v>
      </c>
      <c r="AH28" s="38" t="s">
        <v>99</v>
      </c>
      <c r="AI28" s="39" t="s">
        <v>56</v>
      </c>
      <c r="AJ28" s="37">
        <f>COUNTA(E28:AI28)-COUNTIF(E28:AI28,"X")-COUNTIF(E28:AI28,"P")</f>
        <v>10</v>
      </c>
      <c r="AK28" s="37">
        <f>COUNTIF(E28:AI28,"X")+COUNTIF(E28:AI28,"P")</f>
        <v>2</v>
      </c>
    </row>
    <row r="29" spans="1:37" x14ac:dyDescent="0.4">
      <c r="A29" s="51">
        <v>18</v>
      </c>
      <c r="B29" s="52" t="s">
        <v>100</v>
      </c>
      <c r="C29" s="53" t="s">
        <v>97</v>
      </c>
      <c r="D29" s="53" t="s">
        <v>101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7" t="s">
        <v>99</v>
      </c>
      <c r="Y29" s="37" t="s">
        <v>99</v>
      </c>
      <c r="Z29" s="37" t="s">
        <v>99</v>
      </c>
      <c r="AA29" s="38" t="s">
        <v>99</v>
      </c>
      <c r="AB29" s="39" t="s">
        <v>56</v>
      </c>
      <c r="AC29" s="37" t="s">
        <v>99</v>
      </c>
      <c r="AD29" s="37" t="s">
        <v>99</v>
      </c>
      <c r="AE29" s="37" t="s">
        <v>99</v>
      </c>
      <c r="AF29" s="37" t="s">
        <v>99</v>
      </c>
      <c r="AG29" s="37" t="s">
        <v>99</v>
      </c>
      <c r="AH29" s="38" t="s">
        <v>99</v>
      </c>
      <c r="AI29" s="39" t="s">
        <v>56</v>
      </c>
      <c r="AJ29" s="37">
        <f>COUNTA(E29:AI29)-COUNTIF(E29:AI29,"X")-COUNTIF(E29:AI29,"P")</f>
        <v>10</v>
      </c>
      <c r="AK29" s="37">
        <f>COUNTIF(E29:AI29,"X")+COUNTIF(E29:AI29,"P")</f>
        <v>2</v>
      </c>
    </row>
    <row r="30" spans="1:37" x14ac:dyDescent="0.4">
      <c r="A30" s="51">
        <v>19</v>
      </c>
      <c r="B30" s="52" t="s">
        <v>102</v>
      </c>
      <c r="C30" s="53" t="s">
        <v>97</v>
      </c>
      <c r="D30" s="53" t="s">
        <v>103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7" t="s">
        <v>99</v>
      </c>
      <c r="Y30" s="37" t="s">
        <v>99</v>
      </c>
      <c r="Z30" s="37" t="s">
        <v>99</v>
      </c>
      <c r="AA30" s="38" t="s">
        <v>99</v>
      </c>
      <c r="AB30" s="39" t="s">
        <v>56</v>
      </c>
      <c r="AC30" s="37" t="s">
        <v>99</v>
      </c>
      <c r="AD30" s="37" t="s">
        <v>99</v>
      </c>
      <c r="AE30" s="37" t="s">
        <v>99</v>
      </c>
      <c r="AF30" s="37" t="s">
        <v>99</v>
      </c>
      <c r="AG30" s="37" t="s">
        <v>99</v>
      </c>
      <c r="AH30" s="38" t="s">
        <v>99</v>
      </c>
      <c r="AI30" s="39" t="s">
        <v>56</v>
      </c>
      <c r="AJ30" s="37">
        <f>COUNTA(E30:AI30)-COUNTIF(E30:AI30,"X")-COUNTIF(E30:AI30,"P")</f>
        <v>10</v>
      </c>
      <c r="AK30" s="37">
        <f>COUNTIF(E30:AI30,"X")+COUNTIF(E30:AI30,"P")</f>
        <v>2</v>
      </c>
    </row>
    <row r="31" spans="1:37" x14ac:dyDescent="0.4">
      <c r="A31" s="51">
        <v>20</v>
      </c>
      <c r="B31" s="52" t="s">
        <v>104</v>
      </c>
      <c r="C31" s="53" t="s">
        <v>97</v>
      </c>
      <c r="D31" s="53" t="s">
        <v>105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7" t="s">
        <v>99</v>
      </c>
      <c r="Y31" s="37" t="s">
        <v>99</v>
      </c>
      <c r="Z31" s="37" t="s">
        <v>99</v>
      </c>
      <c r="AA31" s="38" t="s">
        <v>106</v>
      </c>
      <c r="AB31" s="37" t="s">
        <v>106</v>
      </c>
      <c r="AC31" s="37" t="s">
        <v>99</v>
      </c>
      <c r="AD31" s="37" t="s">
        <v>99</v>
      </c>
      <c r="AE31" s="37" t="s">
        <v>99</v>
      </c>
      <c r="AF31" s="37" t="s">
        <v>99</v>
      </c>
      <c r="AG31" s="37" t="s">
        <v>99</v>
      </c>
      <c r="AH31" s="38" t="s">
        <v>106</v>
      </c>
      <c r="AI31" s="37" t="s">
        <v>106</v>
      </c>
      <c r="AJ31" s="37">
        <f>COUNTA(E31:AI31)-COUNTIF(E31:AI31,"X")-COUNTIF(E31:AI31,"P")</f>
        <v>12</v>
      </c>
      <c r="AK31" s="37">
        <f>COUNTIF(E31:AI31,"X")+COUNTIF(E31:AI31,"P")</f>
        <v>0</v>
      </c>
    </row>
    <row r="32" spans="1:37" x14ac:dyDescent="0.4">
      <c r="A32" s="54" t="s">
        <v>124</v>
      </c>
      <c r="B32" s="55"/>
      <c r="C32" s="55"/>
      <c r="D32" s="55"/>
      <c r="E32" s="55">
        <f t="shared" ref="E32:AI32" si="6">COUNTA(E28:E31)-COUNTIF(E28:E31,"X")-COUNTIF(E28:E31,"P")</f>
        <v>0</v>
      </c>
      <c r="F32" s="55">
        <f t="shared" si="6"/>
        <v>0</v>
      </c>
      <c r="G32" s="55">
        <f t="shared" si="6"/>
        <v>0</v>
      </c>
      <c r="H32" s="55">
        <f t="shared" si="6"/>
        <v>0</v>
      </c>
      <c r="I32" s="55">
        <f t="shared" si="6"/>
        <v>0</v>
      </c>
      <c r="J32" s="55">
        <f t="shared" si="6"/>
        <v>0</v>
      </c>
      <c r="K32" s="55">
        <f t="shared" si="6"/>
        <v>0</v>
      </c>
      <c r="L32" s="55">
        <f t="shared" si="6"/>
        <v>0</v>
      </c>
      <c r="M32" s="55">
        <f t="shared" si="6"/>
        <v>0</v>
      </c>
      <c r="N32" s="55">
        <f t="shared" si="6"/>
        <v>0</v>
      </c>
      <c r="O32" s="55">
        <f t="shared" si="6"/>
        <v>0</v>
      </c>
      <c r="P32" s="55">
        <f t="shared" si="6"/>
        <v>0</v>
      </c>
      <c r="Q32" s="55">
        <f t="shared" si="6"/>
        <v>0</v>
      </c>
      <c r="R32" s="55">
        <f t="shared" si="6"/>
        <v>0</v>
      </c>
      <c r="S32" s="55">
        <f t="shared" si="6"/>
        <v>0</v>
      </c>
      <c r="T32" s="55">
        <f t="shared" si="6"/>
        <v>0</v>
      </c>
      <c r="U32" s="55">
        <f t="shared" si="6"/>
        <v>0</v>
      </c>
      <c r="V32" s="55">
        <f t="shared" si="6"/>
        <v>0</v>
      </c>
      <c r="W32" s="55">
        <f t="shared" si="6"/>
        <v>0</v>
      </c>
      <c r="X32" s="55">
        <f t="shared" si="6"/>
        <v>4</v>
      </c>
      <c r="Y32" s="55">
        <f t="shared" si="6"/>
        <v>4</v>
      </c>
      <c r="Z32" s="55">
        <f t="shared" si="6"/>
        <v>4</v>
      </c>
      <c r="AA32" s="55">
        <f t="shared" si="6"/>
        <v>4</v>
      </c>
      <c r="AB32" s="55">
        <f t="shared" si="6"/>
        <v>1</v>
      </c>
      <c r="AC32" s="55">
        <f t="shared" si="6"/>
        <v>4</v>
      </c>
      <c r="AD32" s="55">
        <f t="shared" si="6"/>
        <v>4</v>
      </c>
      <c r="AE32" s="55">
        <f t="shared" si="6"/>
        <v>4</v>
      </c>
      <c r="AF32" s="55">
        <f t="shared" si="6"/>
        <v>4</v>
      </c>
      <c r="AG32" s="55">
        <f t="shared" si="6"/>
        <v>4</v>
      </c>
      <c r="AH32" s="55">
        <f t="shared" si="6"/>
        <v>4</v>
      </c>
      <c r="AI32" s="55">
        <f t="shared" si="6"/>
        <v>1</v>
      </c>
      <c r="AJ32" s="55">
        <f>SUM(AJ28:AJ31)</f>
        <v>42</v>
      </c>
      <c r="AK32" s="55">
        <f>SUM(AK28:AK31)</f>
        <v>6</v>
      </c>
    </row>
    <row r="34" spans="1:4" x14ac:dyDescent="0.4">
      <c r="A34" s="56" t="s">
        <v>125</v>
      </c>
    </row>
    <row r="35" spans="1:4" x14ac:dyDescent="0.4">
      <c r="A35" s="57" t="s">
        <v>58</v>
      </c>
      <c r="B35" s="58" t="s">
        <v>126</v>
      </c>
      <c r="D35" s="59" t="s">
        <v>127</v>
      </c>
    </row>
    <row r="36" spans="1:4" x14ac:dyDescent="0.4">
      <c r="A36" s="57" t="s">
        <v>62</v>
      </c>
      <c r="B36" s="58" t="s">
        <v>128</v>
      </c>
      <c r="D36" s="59" t="s">
        <v>129</v>
      </c>
    </row>
    <row r="37" spans="1:4" x14ac:dyDescent="0.4">
      <c r="A37" s="57" t="s">
        <v>59</v>
      </c>
      <c r="B37" s="58" t="s">
        <v>130</v>
      </c>
      <c r="D37" s="59" t="s">
        <v>131</v>
      </c>
    </row>
    <row r="38" spans="1:4" x14ac:dyDescent="0.4">
      <c r="A38" s="57" t="s">
        <v>86</v>
      </c>
      <c r="B38" s="58" t="s">
        <v>132</v>
      </c>
      <c r="D38" s="59" t="s">
        <v>133</v>
      </c>
    </row>
    <row r="39" spans="1:4" x14ac:dyDescent="0.4">
      <c r="A39" s="57" t="s">
        <v>83</v>
      </c>
      <c r="B39" s="58" t="s">
        <v>134</v>
      </c>
      <c r="D39" s="59"/>
    </row>
    <row r="40" spans="1:4" x14ac:dyDescent="0.4">
      <c r="A40" s="57" t="s">
        <v>57</v>
      </c>
      <c r="B40" s="58" t="s">
        <v>135</v>
      </c>
      <c r="D40" s="59"/>
    </row>
    <row r="41" spans="1:4" x14ac:dyDescent="0.4">
      <c r="A41" s="57" t="s">
        <v>99</v>
      </c>
      <c r="B41" s="58" t="s">
        <v>136</v>
      </c>
      <c r="D41" s="59" t="s">
        <v>137</v>
      </c>
    </row>
    <row r="42" spans="1:4" x14ac:dyDescent="0.4">
      <c r="A42" s="57" t="s">
        <v>138</v>
      </c>
      <c r="B42" s="58" t="s">
        <v>139</v>
      </c>
      <c r="D42" s="59" t="s">
        <v>137</v>
      </c>
    </row>
    <row r="43" spans="1:4" x14ac:dyDescent="0.4">
      <c r="A43" s="57" t="s">
        <v>140</v>
      </c>
      <c r="B43" s="58" t="s">
        <v>141</v>
      </c>
      <c r="D43" s="59" t="s">
        <v>137</v>
      </c>
    </row>
    <row r="44" spans="1:4" x14ac:dyDescent="0.4">
      <c r="A44" s="57" t="s">
        <v>142</v>
      </c>
      <c r="B44" s="58" t="s">
        <v>143</v>
      </c>
      <c r="D44" s="59" t="s">
        <v>137</v>
      </c>
    </row>
    <row r="45" spans="1:4" x14ac:dyDescent="0.4">
      <c r="A45" s="57" t="s">
        <v>68</v>
      </c>
      <c r="B45" s="58" t="s">
        <v>144</v>
      </c>
      <c r="D45" s="59" t="s">
        <v>145</v>
      </c>
    </row>
    <row r="46" spans="1:4" x14ac:dyDescent="0.4">
      <c r="A46" s="57" t="s">
        <v>74</v>
      </c>
      <c r="B46" s="58" t="s">
        <v>146</v>
      </c>
      <c r="D46" s="59" t="s">
        <v>147</v>
      </c>
    </row>
    <row r="47" spans="1:4" x14ac:dyDescent="0.4">
      <c r="A47" s="57" t="s">
        <v>70</v>
      </c>
      <c r="B47" s="58" t="s">
        <v>148</v>
      </c>
      <c r="D47" s="59" t="s">
        <v>149</v>
      </c>
    </row>
    <row r="48" spans="1:4" x14ac:dyDescent="0.4">
      <c r="A48" s="57" t="s">
        <v>71</v>
      </c>
      <c r="B48" s="58" t="s">
        <v>150</v>
      </c>
      <c r="D48" s="59" t="s">
        <v>151</v>
      </c>
    </row>
    <row r="49" spans="1:4" x14ac:dyDescent="0.4">
      <c r="A49" s="57" t="s">
        <v>89</v>
      </c>
      <c r="B49" s="58" t="s">
        <v>152</v>
      </c>
      <c r="D49" s="59" t="s">
        <v>153</v>
      </c>
    </row>
    <row r="50" spans="1:4" x14ac:dyDescent="0.4">
      <c r="A50" s="57" t="s">
        <v>67</v>
      </c>
      <c r="B50" s="58" t="s">
        <v>154</v>
      </c>
      <c r="D50" s="59" t="s">
        <v>155</v>
      </c>
    </row>
    <row r="51" spans="1:4" x14ac:dyDescent="0.4">
      <c r="A51" s="57" t="s">
        <v>156</v>
      </c>
      <c r="B51" s="58" t="s">
        <v>157</v>
      </c>
      <c r="D51" s="59" t="s">
        <v>158</v>
      </c>
    </row>
    <row r="52" spans="1:4" x14ac:dyDescent="0.4">
      <c r="A52" s="57" t="s">
        <v>106</v>
      </c>
      <c r="B52" s="58" t="s">
        <v>159</v>
      </c>
      <c r="D52" s="59"/>
    </row>
    <row r="53" spans="1:4" x14ac:dyDescent="0.4">
      <c r="A53" s="57" t="s">
        <v>160</v>
      </c>
      <c r="B53" s="58" t="s">
        <v>161</v>
      </c>
      <c r="D53" s="59" t="s">
        <v>137</v>
      </c>
    </row>
    <row r="54" spans="1:4" x14ac:dyDescent="0.4">
      <c r="A54" s="57" t="s">
        <v>56</v>
      </c>
      <c r="B54" s="58" t="s">
        <v>162</v>
      </c>
      <c r="D54" s="59"/>
    </row>
    <row r="55" spans="1:4" x14ac:dyDescent="0.4">
      <c r="A55" s="57" t="s">
        <v>163</v>
      </c>
      <c r="B55" s="58" t="s">
        <v>164</v>
      </c>
      <c r="D55" s="59"/>
    </row>
  </sheetData>
  <dataValidations count="1">
    <dataValidation type="list" allowBlank="1" sqref="E5:AI33" xr:uid="{00000000-0002-0000-0200-000000000000}">
      <formula1>"CG,CS,CCT,CGD,D1,D2,HC,12,21,2C,S,C,T,SC,ST,CT,SCT,LD,NG,X,P"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5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4" customWidth="1"/>
    <col min="2" max="2" width="16" customWidth="1"/>
    <col min="3" max="3" width="10" customWidth="1"/>
    <col min="4" max="4" width="12" customWidth="1"/>
    <col min="5" max="35" width="4.3828125" customWidth="1"/>
    <col min="36" max="37" width="10" customWidth="1"/>
  </cols>
  <sheetData>
    <row r="1" spans="1:37" ht="16.3" x14ac:dyDescent="0.4">
      <c r="A1" s="23" t="s">
        <v>112</v>
      </c>
    </row>
    <row r="2" spans="1:37" x14ac:dyDescent="0.4">
      <c r="A2" s="24" t="s">
        <v>113</v>
      </c>
      <c r="B2" s="25">
        <v>9</v>
      </c>
      <c r="C2" s="24" t="s">
        <v>114</v>
      </c>
      <c r="D2" s="25">
        <v>2026</v>
      </c>
      <c r="E2" s="26" t="s">
        <v>115</v>
      </c>
    </row>
    <row r="3" spans="1:37" x14ac:dyDescent="0.4">
      <c r="A3" s="9" t="s">
        <v>40</v>
      </c>
      <c r="B3" s="9" t="s">
        <v>116</v>
      </c>
      <c r="C3" s="9" t="s">
        <v>43</v>
      </c>
      <c r="D3" s="9" t="s">
        <v>44</v>
      </c>
      <c r="E3" s="27">
        <v>1</v>
      </c>
      <c r="F3" s="27">
        <v>2</v>
      </c>
      <c r="G3" s="27">
        <v>3</v>
      </c>
      <c r="H3" s="27">
        <v>4</v>
      </c>
      <c r="I3" s="27">
        <v>5</v>
      </c>
      <c r="J3" s="27">
        <v>6</v>
      </c>
      <c r="K3" s="27">
        <v>7</v>
      </c>
      <c r="L3" s="27">
        <v>8</v>
      </c>
      <c r="M3" s="27">
        <v>9</v>
      </c>
      <c r="N3" s="27">
        <v>10</v>
      </c>
      <c r="O3" s="27">
        <v>11</v>
      </c>
      <c r="P3" s="27">
        <v>12</v>
      </c>
      <c r="Q3" s="27">
        <v>13</v>
      </c>
      <c r="R3" s="27">
        <v>14</v>
      </c>
      <c r="S3" s="27">
        <v>15</v>
      </c>
      <c r="T3" s="27">
        <v>16</v>
      </c>
      <c r="U3" s="27">
        <v>17</v>
      </c>
      <c r="V3" s="27">
        <v>18</v>
      </c>
      <c r="W3" s="27">
        <v>19</v>
      </c>
      <c r="X3" s="27">
        <v>20</v>
      </c>
      <c r="Y3" s="27">
        <v>21</v>
      </c>
      <c r="Z3" s="27">
        <v>22</v>
      </c>
      <c r="AA3" s="27">
        <v>23</v>
      </c>
      <c r="AB3" s="27">
        <v>24</v>
      </c>
      <c r="AC3" s="27">
        <v>25</v>
      </c>
      <c r="AD3" s="27">
        <v>26</v>
      </c>
      <c r="AE3" s="27">
        <v>27</v>
      </c>
      <c r="AF3" s="27">
        <v>28</v>
      </c>
      <c r="AG3" s="27">
        <v>29</v>
      </c>
      <c r="AH3" s="27">
        <v>30</v>
      </c>
      <c r="AI3" s="27"/>
      <c r="AJ3" s="27" t="s">
        <v>117</v>
      </c>
      <c r="AK3" s="27" t="s">
        <v>118</v>
      </c>
    </row>
    <row r="4" spans="1:37" x14ac:dyDescent="0.4">
      <c r="A4" s="28"/>
      <c r="B4" s="28"/>
      <c r="C4" s="28"/>
      <c r="D4" s="28"/>
      <c r="E4" s="60" t="s">
        <v>47</v>
      </c>
      <c r="F4" s="60" t="s">
        <v>48</v>
      </c>
      <c r="G4" s="29" t="s">
        <v>49</v>
      </c>
      <c r="H4" s="29" t="s">
        <v>50</v>
      </c>
      <c r="I4" s="29" t="s">
        <v>51</v>
      </c>
      <c r="J4" s="30" t="s">
        <v>52</v>
      </c>
      <c r="K4" s="29" t="s">
        <v>46</v>
      </c>
      <c r="L4" s="29" t="s">
        <v>47</v>
      </c>
      <c r="M4" s="29" t="s">
        <v>48</v>
      </c>
      <c r="N4" s="29" t="s">
        <v>49</v>
      </c>
      <c r="O4" s="29" t="s">
        <v>50</v>
      </c>
      <c r="P4" s="29" t="s">
        <v>51</v>
      </c>
      <c r="Q4" s="30" t="s">
        <v>52</v>
      </c>
      <c r="R4" s="29" t="s">
        <v>46</v>
      </c>
      <c r="S4" s="29" t="s">
        <v>47</v>
      </c>
      <c r="T4" s="29" t="s">
        <v>48</v>
      </c>
      <c r="U4" s="29" t="s">
        <v>49</v>
      </c>
      <c r="V4" s="29" t="s">
        <v>50</v>
      </c>
      <c r="W4" s="29" t="s">
        <v>51</v>
      </c>
      <c r="X4" s="30" t="s">
        <v>52</v>
      </c>
      <c r="Y4" s="29" t="s">
        <v>46</v>
      </c>
      <c r="Z4" s="29" t="s">
        <v>47</v>
      </c>
      <c r="AA4" s="29" t="s">
        <v>48</v>
      </c>
      <c r="AB4" s="29" t="s">
        <v>49</v>
      </c>
      <c r="AC4" s="29" t="s">
        <v>50</v>
      </c>
      <c r="AD4" s="29" t="s">
        <v>51</v>
      </c>
      <c r="AE4" s="30" t="s">
        <v>52</v>
      </c>
      <c r="AF4" s="29" t="s">
        <v>46</v>
      </c>
      <c r="AG4" s="29" t="s">
        <v>47</v>
      </c>
      <c r="AH4" s="29" t="s">
        <v>48</v>
      </c>
      <c r="AI4" s="61"/>
      <c r="AJ4" s="28"/>
      <c r="AK4" s="28"/>
    </row>
    <row r="5" spans="1:37" x14ac:dyDescent="0.4">
      <c r="A5" s="31" t="s">
        <v>119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 spans="1:37" x14ac:dyDescent="0.4">
      <c r="A6" s="33">
        <v>1</v>
      </c>
      <c r="B6" s="34" t="s">
        <v>53</v>
      </c>
      <c r="C6" s="35" t="s">
        <v>54</v>
      </c>
      <c r="D6" s="35" t="s">
        <v>55</v>
      </c>
      <c r="E6" s="62" t="s">
        <v>56</v>
      </c>
      <c r="F6" s="62" t="s">
        <v>56</v>
      </c>
      <c r="G6" s="37" t="s">
        <v>57</v>
      </c>
      <c r="H6" s="37" t="s">
        <v>58</v>
      </c>
      <c r="I6" s="37" t="s">
        <v>57</v>
      </c>
      <c r="J6" s="38" t="s">
        <v>59</v>
      </c>
      <c r="K6" s="39" t="s">
        <v>56</v>
      </c>
      <c r="L6" s="37" t="s">
        <v>57</v>
      </c>
      <c r="M6" s="37" t="s">
        <v>58</v>
      </c>
      <c r="N6" s="37" t="s">
        <v>57</v>
      </c>
      <c r="O6" s="37" t="s">
        <v>58</v>
      </c>
      <c r="P6" s="37" t="s">
        <v>57</v>
      </c>
      <c r="Q6" s="38" t="s">
        <v>59</v>
      </c>
      <c r="R6" s="39" t="s">
        <v>56</v>
      </c>
      <c r="S6" s="37" t="s">
        <v>57</v>
      </c>
      <c r="T6" s="37" t="s">
        <v>58</v>
      </c>
      <c r="U6" s="37" t="s">
        <v>57</v>
      </c>
      <c r="V6" s="37" t="s">
        <v>58</v>
      </c>
      <c r="W6" s="37" t="s">
        <v>57</v>
      </c>
      <c r="X6" s="38" t="s">
        <v>59</v>
      </c>
      <c r="Y6" s="39" t="s">
        <v>56</v>
      </c>
      <c r="Z6" s="37" t="s">
        <v>57</v>
      </c>
      <c r="AA6" s="37" t="s">
        <v>58</v>
      </c>
      <c r="AB6" s="37" t="s">
        <v>57</v>
      </c>
      <c r="AC6" s="37" t="s">
        <v>58</v>
      </c>
      <c r="AD6" s="37" t="s">
        <v>57</v>
      </c>
      <c r="AE6" s="38" t="s">
        <v>59</v>
      </c>
      <c r="AF6" s="39" t="s">
        <v>56</v>
      </c>
      <c r="AG6" s="37" t="s">
        <v>57</v>
      </c>
      <c r="AH6" s="37" t="s">
        <v>58</v>
      </c>
      <c r="AI6" s="63"/>
      <c r="AJ6" s="37">
        <f t="shared" ref="AJ6:AJ14" si="0">COUNTA(E6:AH6)-COUNTIF(E6:AH6,"X")-COUNTIF(E6:AH6,"P")</f>
        <v>24</v>
      </c>
      <c r="AK6" s="37">
        <f t="shared" ref="AK6:AK14" si="1">COUNTIF(E6:AH6,"X")+COUNTIF(E6:AH6,"P")</f>
        <v>6</v>
      </c>
    </row>
    <row r="7" spans="1:37" x14ac:dyDescent="0.4">
      <c r="A7" s="33">
        <v>2</v>
      </c>
      <c r="B7" s="34" t="s">
        <v>60</v>
      </c>
      <c r="C7" s="35" t="s">
        <v>54</v>
      </c>
      <c r="D7" s="35" t="s">
        <v>61</v>
      </c>
      <c r="E7" s="62" t="s">
        <v>56</v>
      </c>
      <c r="F7" s="62" t="s">
        <v>56</v>
      </c>
      <c r="G7" s="37" t="s">
        <v>58</v>
      </c>
      <c r="H7" s="37" t="s">
        <v>62</v>
      </c>
      <c r="I7" s="37" t="s">
        <v>59</v>
      </c>
      <c r="J7" s="38" t="s">
        <v>59</v>
      </c>
      <c r="K7" s="39" t="s">
        <v>56</v>
      </c>
      <c r="L7" s="37" t="s">
        <v>58</v>
      </c>
      <c r="M7" s="37" t="s">
        <v>62</v>
      </c>
      <c r="N7" s="37" t="s">
        <v>58</v>
      </c>
      <c r="O7" s="37" t="s">
        <v>62</v>
      </c>
      <c r="P7" s="37" t="s">
        <v>59</v>
      </c>
      <c r="Q7" s="38" t="s">
        <v>59</v>
      </c>
      <c r="R7" s="39" t="s">
        <v>56</v>
      </c>
      <c r="S7" s="37" t="s">
        <v>58</v>
      </c>
      <c r="T7" s="37" t="s">
        <v>62</v>
      </c>
      <c r="U7" s="37" t="s">
        <v>58</v>
      </c>
      <c r="V7" s="37" t="s">
        <v>62</v>
      </c>
      <c r="W7" s="37" t="s">
        <v>59</v>
      </c>
      <c r="X7" s="38" t="s">
        <v>59</v>
      </c>
      <c r="Y7" s="39" t="s">
        <v>56</v>
      </c>
      <c r="Z7" s="37" t="s">
        <v>58</v>
      </c>
      <c r="AA7" s="37" t="s">
        <v>62</v>
      </c>
      <c r="AB7" s="37" t="s">
        <v>58</v>
      </c>
      <c r="AC7" s="37" t="s">
        <v>62</v>
      </c>
      <c r="AD7" s="37" t="s">
        <v>59</v>
      </c>
      <c r="AE7" s="38" t="s">
        <v>59</v>
      </c>
      <c r="AF7" s="39" t="s">
        <v>56</v>
      </c>
      <c r="AG7" s="37" t="s">
        <v>58</v>
      </c>
      <c r="AH7" s="37" t="s">
        <v>62</v>
      </c>
      <c r="AI7" s="63"/>
      <c r="AJ7" s="37">
        <f t="shared" si="0"/>
        <v>24</v>
      </c>
      <c r="AK7" s="37">
        <f t="shared" si="1"/>
        <v>6</v>
      </c>
    </row>
    <row r="8" spans="1:37" x14ac:dyDescent="0.4">
      <c r="A8" s="33">
        <v>3</v>
      </c>
      <c r="B8" s="34" t="s">
        <v>63</v>
      </c>
      <c r="C8" s="35" t="s">
        <v>54</v>
      </c>
      <c r="D8" s="35" t="s">
        <v>61</v>
      </c>
      <c r="E8" s="62" t="s">
        <v>56</v>
      </c>
      <c r="F8" s="62" t="s">
        <v>56</v>
      </c>
      <c r="G8" s="37" t="s">
        <v>62</v>
      </c>
      <c r="H8" s="37" t="s">
        <v>58</v>
      </c>
      <c r="I8" s="37" t="s">
        <v>59</v>
      </c>
      <c r="J8" s="38" t="s">
        <v>59</v>
      </c>
      <c r="K8" s="39" t="s">
        <v>56</v>
      </c>
      <c r="L8" s="37" t="s">
        <v>62</v>
      </c>
      <c r="M8" s="37" t="s">
        <v>58</v>
      </c>
      <c r="N8" s="37" t="s">
        <v>62</v>
      </c>
      <c r="O8" s="37" t="s">
        <v>58</v>
      </c>
      <c r="P8" s="37" t="s">
        <v>59</v>
      </c>
      <c r="Q8" s="38" t="s">
        <v>59</v>
      </c>
      <c r="R8" s="39" t="s">
        <v>56</v>
      </c>
      <c r="S8" s="37" t="s">
        <v>62</v>
      </c>
      <c r="T8" s="37" t="s">
        <v>58</v>
      </c>
      <c r="U8" s="37" t="s">
        <v>62</v>
      </c>
      <c r="V8" s="37" t="s">
        <v>58</v>
      </c>
      <c r="W8" s="37" t="s">
        <v>59</v>
      </c>
      <c r="X8" s="38" t="s">
        <v>59</v>
      </c>
      <c r="Y8" s="39" t="s">
        <v>56</v>
      </c>
      <c r="Z8" s="37" t="s">
        <v>62</v>
      </c>
      <c r="AA8" s="37" t="s">
        <v>58</v>
      </c>
      <c r="AB8" s="37" t="s">
        <v>62</v>
      </c>
      <c r="AC8" s="37" t="s">
        <v>58</v>
      </c>
      <c r="AD8" s="37" t="s">
        <v>59</v>
      </c>
      <c r="AE8" s="38" t="s">
        <v>59</v>
      </c>
      <c r="AF8" s="39" t="s">
        <v>56</v>
      </c>
      <c r="AG8" s="37" t="s">
        <v>62</v>
      </c>
      <c r="AH8" s="37" t="s">
        <v>58</v>
      </c>
      <c r="AI8" s="63"/>
      <c r="AJ8" s="37">
        <f t="shared" si="0"/>
        <v>24</v>
      </c>
      <c r="AK8" s="37">
        <f t="shared" si="1"/>
        <v>6</v>
      </c>
    </row>
    <row r="9" spans="1:37" x14ac:dyDescent="0.4">
      <c r="A9" s="33">
        <v>4</v>
      </c>
      <c r="B9" s="34" t="s">
        <v>64</v>
      </c>
      <c r="C9" s="35" t="s">
        <v>54</v>
      </c>
      <c r="D9" s="35" t="s">
        <v>66</v>
      </c>
      <c r="E9" s="62" t="s">
        <v>56</v>
      </c>
      <c r="F9" s="62" t="s">
        <v>56</v>
      </c>
      <c r="G9" s="37"/>
      <c r="H9" s="37" t="s">
        <v>70</v>
      </c>
      <c r="I9" s="37" t="s">
        <v>71</v>
      </c>
      <c r="J9" s="38"/>
      <c r="K9" s="39" t="s">
        <v>56</v>
      </c>
      <c r="L9" s="37" t="s">
        <v>67</v>
      </c>
      <c r="M9" s="37" t="s">
        <v>68</v>
      </c>
      <c r="N9" s="37"/>
      <c r="O9" s="37" t="s">
        <v>70</v>
      </c>
      <c r="P9" s="37" t="s">
        <v>71</v>
      </c>
      <c r="Q9" s="38"/>
      <c r="R9" s="39" t="s">
        <v>56</v>
      </c>
      <c r="S9" s="37" t="s">
        <v>67</v>
      </c>
      <c r="T9" s="37" t="s">
        <v>68</v>
      </c>
      <c r="U9" s="37"/>
      <c r="V9" s="37" t="s">
        <v>70</v>
      </c>
      <c r="W9" s="37" t="s">
        <v>71</v>
      </c>
      <c r="X9" s="38"/>
      <c r="Y9" s="39" t="s">
        <v>56</v>
      </c>
      <c r="Z9" s="37" t="s">
        <v>67</v>
      </c>
      <c r="AA9" s="37" t="s">
        <v>68</v>
      </c>
      <c r="AB9" s="37"/>
      <c r="AC9" s="37" t="s">
        <v>70</v>
      </c>
      <c r="AD9" s="37" t="s">
        <v>71</v>
      </c>
      <c r="AE9" s="38"/>
      <c r="AF9" s="39" t="s">
        <v>56</v>
      </c>
      <c r="AG9" s="37" t="s">
        <v>67</v>
      </c>
      <c r="AH9" s="37" t="s">
        <v>68</v>
      </c>
      <c r="AI9" s="63"/>
      <c r="AJ9" s="37">
        <f t="shared" si="0"/>
        <v>16</v>
      </c>
      <c r="AK9" s="37">
        <f t="shared" si="1"/>
        <v>6</v>
      </c>
    </row>
    <row r="10" spans="1:37" x14ac:dyDescent="0.4">
      <c r="A10" s="33">
        <v>5</v>
      </c>
      <c r="B10" s="34" t="s">
        <v>72</v>
      </c>
      <c r="C10" s="35" t="s">
        <v>54</v>
      </c>
      <c r="D10" s="35" t="s">
        <v>66</v>
      </c>
      <c r="E10" s="62" t="s">
        <v>56</v>
      </c>
      <c r="F10" s="62" t="s">
        <v>56</v>
      </c>
      <c r="G10" s="37"/>
      <c r="H10" s="37"/>
      <c r="I10" s="37" t="s">
        <v>74</v>
      </c>
      <c r="J10" s="38" t="s">
        <v>71</v>
      </c>
      <c r="K10" s="39" t="s">
        <v>56</v>
      </c>
      <c r="L10" s="37" t="s">
        <v>71</v>
      </c>
      <c r="M10" s="37" t="s">
        <v>70</v>
      </c>
      <c r="N10" s="37"/>
      <c r="O10" s="37"/>
      <c r="P10" s="37" t="s">
        <v>74</v>
      </c>
      <c r="Q10" s="38" t="s">
        <v>71</v>
      </c>
      <c r="R10" s="39" t="s">
        <v>56</v>
      </c>
      <c r="S10" s="37" t="s">
        <v>71</v>
      </c>
      <c r="T10" s="37" t="s">
        <v>70</v>
      </c>
      <c r="U10" s="37"/>
      <c r="V10" s="37"/>
      <c r="W10" s="37" t="s">
        <v>74</v>
      </c>
      <c r="X10" s="38" t="s">
        <v>71</v>
      </c>
      <c r="Y10" s="39" t="s">
        <v>56</v>
      </c>
      <c r="Z10" s="37" t="s">
        <v>71</v>
      </c>
      <c r="AA10" s="37" t="s">
        <v>70</v>
      </c>
      <c r="AB10" s="37"/>
      <c r="AC10" s="37"/>
      <c r="AD10" s="37" t="s">
        <v>74</v>
      </c>
      <c r="AE10" s="38" t="s">
        <v>71</v>
      </c>
      <c r="AF10" s="39" t="s">
        <v>56</v>
      </c>
      <c r="AG10" s="37" t="s">
        <v>71</v>
      </c>
      <c r="AH10" s="37" t="s">
        <v>70</v>
      </c>
      <c r="AI10" s="63"/>
      <c r="AJ10" s="37">
        <f t="shared" si="0"/>
        <v>16</v>
      </c>
      <c r="AK10" s="37">
        <f t="shared" si="1"/>
        <v>6</v>
      </c>
    </row>
    <row r="11" spans="1:37" x14ac:dyDescent="0.4">
      <c r="A11" s="33">
        <v>6</v>
      </c>
      <c r="B11" s="34" t="s">
        <v>75</v>
      </c>
      <c r="C11" s="35" t="s">
        <v>54</v>
      </c>
      <c r="D11" s="35" t="s">
        <v>66</v>
      </c>
      <c r="E11" s="62" t="s">
        <v>56</v>
      </c>
      <c r="F11" s="62" t="s">
        <v>56</v>
      </c>
      <c r="G11" s="37" t="s">
        <v>71</v>
      </c>
      <c r="H11" s="37"/>
      <c r="I11" s="37"/>
      <c r="J11" s="38"/>
      <c r="K11" s="39" t="s">
        <v>56</v>
      </c>
      <c r="L11" s="37" t="s">
        <v>71</v>
      </c>
      <c r="M11" s="37" t="s">
        <v>67</v>
      </c>
      <c r="N11" s="37" t="s">
        <v>71</v>
      </c>
      <c r="O11" s="37"/>
      <c r="P11" s="37"/>
      <c r="Q11" s="38"/>
      <c r="R11" s="39" t="s">
        <v>56</v>
      </c>
      <c r="S11" s="37" t="s">
        <v>71</v>
      </c>
      <c r="T11" s="37" t="s">
        <v>67</v>
      </c>
      <c r="U11" s="37" t="s">
        <v>71</v>
      </c>
      <c r="V11" s="37"/>
      <c r="W11" s="37"/>
      <c r="X11" s="38"/>
      <c r="Y11" s="39" t="s">
        <v>56</v>
      </c>
      <c r="Z11" s="37" t="s">
        <v>71</v>
      </c>
      <c r="AA11" s="37" t="s">
        <v>67</v>
      </c>
      <c r="AB11" s="37" t="s">
        <v>71</v>
      </c>
      <c r="AC11" s="37"/>
      <c r="AD11" s="37"/>
      <c r="AE11" s="38"/>
      <c r="AF11" s="39" t="s">
        <v>56</v>
      </c>
      <c r="AG11" s="37" t="s">
        <v>71</v>
      </c>
      <c r="AH11" s="37" t="s">
        <v>67</v>
      </c>
      <c r="AI11" s="63"/>
      <c r="AJ11" s="37">
        <f t="shared" si="0"/>
        <v>12</v>
      </c>
      <c r="AK11" s="37">
        <f t="shared" si="1"/>
        <v>6</v>
      </c>
    </row>
    <row r="12" spans="1:37" x14ac:dyDescent="0.4">
      <c r="A12" s="33">
        <v>7</v>
      </c>
      <c r="B12" s="34" t="s">
        <v>77</v>
      </c>
      <c r="C12" s="35" t="s">
        <v>54</v>
      </c>
      <c r="D12" s="35" t="s">
        <v>66</v>
      </c>
      <c r="E12" s="62" t="s">
        <v>56</v>
      </c>
      <c r="F12" s="62" t="s">
        <v>56</v>
      </c>
      <c r="G12" s="37" t="s">
        <v>67</v>
      </c>
      <c r="H12" s="37" t="s">
        <v>70</v>
      </c>
      <c r="I12" s="37"/>
      <c r="J12" s="38" t="s">
        <v>68</v>
      </c>
      <c r="K12" s="39" t="s">
        <v>56</v>
      </c>
      <c r="L12" s="37" t="s">
        <v>71</v>
      </c>
      <c r="M12" s="37"/>
      <c r="N12" s="37" t="s">
        <v>67</v>
      </c>
      <c r="O12" s="37" t="s">
        <v>70</v>
      </c>
      <c r="P12" s="37"/>
      <c r="Q12" s="38" t="s">
        <v>68</v>
      </c>
      <c r="R12" s="39" t="s">
        <v>56</v>
      </c>
      <c r="S12" s="37" t="s">
        <v>71</v>
      </c>
      <c r="T12" s="37"/>
      <c r="U12" s="37" t="s">
        <v>67</v>
      </c>
      <c r="V12" s="37" t="s">
        <v>70</v>
      </c>
      <c r="W12" s="37"/>
      <c r="X12" s="38" t="s">
        <v>68</v>
      </c>
      <c r="Y12" s="39" t="s">
        <v>56</v>
      </c>
      <c r="Z12" s="37" t="s">
        <v>71</v>
      </c>
      <c r="AA12" s="37"/>
      <c r="AB12" s="37" t="s">
        <v>67</v>
      </c>
      <c r="AC12" s="37" t="s">
        <v>70</v>
      </c>
      <c r="AD12" s="37"/>
      <c r="AE12" s="38" t="s">
        <v>68</v>
      </c>
      <c r="AF12" s="39" t="s">
        <v>56</v>
      </c>
      <c r="AG12" s="37" t="s">
        <v>71</v>
      </c>
      <c r="AH12" s="37"/>
      <c r="AI12" s="63"/>
      <c r="AJ12" s="37">
        <f t="shared" si="0"/>
        <v>16</v>
      </c>
      <c r="AK12" s="37">
        <f t="shared" si="1"/>
        <v>6</v>
      </c>
    </row>
    <row r="13" spans="1:37" x14ac:dyDescent="0.4">
      <c r="A13" s="33">
        <v>8</v>
      </c>
      <c r="B13" s="34" t="s">
        <v>79</v>
      </c>
      <c r="C13" s="35" t="s">
        <v>54</v>
      </c>
      <c r="D13" s="35" t="s">
        <v>66</v>
      </c>
      <c r="E13" s="62" t="s">
        <v>56</v>
      </c>
      <c r="F13" s="62" t="s">
        <v>56</v>
      </c>
      <c r="G13" s="37" t="s">
        <v>70</v>
      </c>
      <c r="H13" s="37" t="s">
        <v>70</v>
      </c>
      <c r="I13" s="37" t="s">
        <v>68</v>
      </c>
      <c r="J13" s="38" t="s">
        <v>68</v>
      </c>
      <c r="K13" s="39" t="s">
        <v>56</v>
      </c>
      <c r="L13" s="37" t="s">
        <v>67</v>
      </c>
      <c r="M13" s="37"/>
      <c r="N13" s="37" t="s">
        <v>70</v>
      </c>
      <c r="O13" s="37" t="s">
        <v>70</v>
      </c>
      <c r="P13" s="37" t="s">
        <v>68</v>
      </c>
      <c r="Q13" s="38" t="s">
        <v>68</v>
      </c>
      <c r="R13" s="39" t="s">
        <v>56</v>
      </c>
      <c r="S13" s="37" t="s">
        <v>67</v>
      </c>
      <c r="T13" s="37"/>
      <c r="U13" s="37" t="s">
        <v>70</v>
      </c>
      <c r="V13" s="37" t="s">
        <v>70</v>
      </c>
      <c r="W13" s="37" t="s">
        <v>68</v>
      </c>
      <c r="X13" s="38" t="s">
        <v>68</v>
      </c>
      <c r="Y13" s="39" t="s">
        <v>56</v>
      </c>
      <c r="Z13" s="37" t="s">
        <v>67</v>
      </c>
      <c r="AA13" s="37"/>
      <c r="AB13" s="37" t="s">
        <v>70</v>
      </c>
      <c r="AC13" s="37" t="s">
        <v>70</v>
      </c>
      <c r="AD13" s="37" t="s">
        <v>68</v>
      </c>
      <c r="AE13" s="38" t="s">
        <v>68</v>
      </c>
      <c r="AF13" s="39" t="s">
        <v>56</v>
      </c>
      <c r="AG13" s="37" t="s">
        <v>67</v>
      </c>
      <c r="AH13" s="37"/>
      <c r="AI13" s="63"/>
      <c r="AJ13" s="37">
        <f t="shared" si="0"/>
        <v>20</v>
      </c>
      <c r="AK13" s="37">
        <f t="shared" si="1"/>
        <v>6</v>
      </c>
    </row>
    <row r="14" spans="1:37" x14ac:dyDescent="0.4">
      <c r="A14" s="33">
        <v>9</v>
      </c>
      <c r="B14" s="34" t="s">
        <v>81</v>
      </c>
      <c r="C14" s="35" t="s">
        <v>54</v>
      </c>
      <c r="D14" s="35" t="s">
        <v>66</v>
      </c>
      <c r="E14" s="62" t="s">
        <v>56</v>
      </c>
      <c r="F14" s="62" t="s">
        <v>56</v>
      </c>
      <c r="G14" s="37"/>
      <c r="H14" s="37"/>
      <c r="I14" s="37" t="s">
        <v>74</v>
      </c>
      <c r="J14" s="38"/>
      <c r="K14" s="39" t="s">
        <v>56</v>
      </c>
      <c r="L14" s="37"/>
      <c r="M14" s="37"/>
      <c r="N14" s="37"/>
      <c r="O14" s="37"/>
      <c r="P14" s="37" t="s">
        <v>74</v>
      </c>
      <c r="Q14" s="38"/>
      <c r="R14" s="39" t="s">
        <v>56</v>
      </c>
      <c r="S14" s="37"/>
      <c r="T14" s="37"/>
      <c r="U14" s="37"/>
      <c r="V14" s="37"/>
      <c r="W14" s="37" t="s">
        <v>74</v>
      </c>
      <c r="X14" s="38"/>
      <c r="Y14" s="39" t="s">
        <v>56</v>
      </c>
      <c r="Z14" s="37"/>
      <c r="AA14" s="37"/>
      <c r="AB14" s="37"/>
      <c r="AC14" s="37"/>
      <c r="AD14" s="37" t="s">
        <v>74</v>
      </c>
      <c r="AE14" s="38"/>
      <c r="AF14" s="39" t="s">
        <v>56</v>
      </c>
      <c r="AG14" s="37"/>
      <c r="AH14" s="37"/>
      <c r="AI14" s="63"/>
      <c r="AJ14" s="37">
        <f t="shared" si="0"/>
        <v>4</v>
      </c>
      <c r="AK14" s="37">
        <f t="shared" si="1"/>
        <v>6</v>
      </c>
    </row>
    <row r="15" spans="1:37" x14ac:dyDescent="0.4">
      <c r="A15" s="40" t="s">
        <v>120</v>
      </c>
      <c r="B15" s="41"/>
      <c r="C15" s="41"/>
      <c r="D15" s="41"/>
      <c r="E15" s="41">
        <f t="shared" ref="E15:AH15" si="2">COUNTA(E6:E14)-COUNTIF(E6:E14,"X")-COUNTIF(E6:E14,"P")</f>
        <v>0</v>
      </c>
      <c r="F15" s="41">
        <f t="shared" si="2"/>
        <v>0</v>
      </c>
      <c r="G15" s="41">
        <f t="shared" si="2"/>
        <v>6</v>
      </c>
      <c r="H15" s="41">
        <f t="shared" si="2"/>
        <v>6</v>
      </c>
      <c r="I15" s="41">
        <f t="shared" si="2"/>
        <v>7</v>
      </c>
      <c r="J15" s="41">
        <f t="shared" si="2"/>
        <v>6</v>
      </c>
      <c r="K15" s="41">
        <f t="shared" si="2"/>
        <v>0</v>
      </c>
      <c r="L15" s="41">
        <f t="shared" si="2"/>
        <v>8</v>
      </c>
      <c r="M15" s="41">
        <f t="shared" si="2"/>
        <v>6</v>
      </c>
      <c r="N15" s="41">
        <f t="shared" si="2"/>
        <v>6</v>
      </c>
      <c r="O15" s="41">
        <f t="shared" si="2"/>
        <v>6</v>
      </c>
      <c r="P15" s="41">
        <f t="shared" si="2"/>
        <v>7</v>
      </c>
      <c r="Q15" s="41">
        <f t="shared" si="2"/>
        <v>6</v>
      </c>
      <c r="R15" s="41">
        <f t="shared" si="2"/>
        <v>0</v>
      </c>
      <c r="S15" s="41">
        <f t="shared" si="2"/>
        <v>8</v>
      </c>
      <c r="T15" s="41">
        <f t="shared" si="2"/>
        <v>6</v>
      </c>
      <c r="U15" s="41">
        <f t="shared" si="2"/>
        <v>6</v>
      </c>
      <c r="V15" s="41">
        <f t="shared" si="2"/>
        <v>6</v>
      </c>
      <c r="W15" s="41">
        <f t="shared" si="2"/>
        <v>7</v>
      </c>
      <c r="X15" s="41">
        <f t="shared" si="2"/>
        <v>6</v>
      </c>
      <c r="Y15" s="41">
        <f t="shared" si="2"/>
        <v>0</v>
      </c>
      <c r="Z15" s="41">
        <f t="shared" si="2"/>
        <v>8</v>
      </c>
      <c r="AA15" s="41">
        <f t="shared" si="2"/>
        <v>6</v>
      </c>
      <c r="AB15" s="41">
        <f t="shared" si="2"/>
        <v>6</v>
      </c>
      <c r="AC15" s="41">
        <f t="shared" si="2"/>
        <v>6</v>
      </c>
      <c r="AD15" s="41">
        <f t="shared" si="2"/>
        <v>7</v>
      </c>
      <c r="AE15" s="41">
        <f t="shared" si="2"/>
        <v>6</v>
      </c>
      <c r="AF15" s="41">
        <f t="shared" si="2"/>
        <v>0</v>
      </c>
      <c r="AG15" s="41">
        <f t="shared" si="2"/>
        <v>8</v>
      </c>
      <c r="AH15" s="41">
        <f t="shared" si="2"/>
        <v>6</v>
      </c>
      <c r="AI15" s="41"/>
      <c r="AJ15" s="41">
        <f>SUM(AJ6:AJ14)</f>
        <v>156</v>
      </c>
      <c r="AK15" s="41">
        <f>SUM(AK6:AK14)</f>
        <v>54</v>
      </c>
    </row>
    <row r="17" spans="1:37" x14ac:dyDescent="0.4">
      <c r="A17" s="42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</row>
    <row r="18" spans="1:37" x14ac:dyDescent="0.4">
      <c r="A18" s="44">
        <v>10</v>
      </c>
      <c r="B18" s="45" t="s">
        <v>53</v>
      </c>
      <c r="C18" s="46" t="s">
        <v>82</v>
      </c>
      <c r="D18" s="46" t="s">
        <v>55</v>
      </c>
      <c r="E18" s="62" t="s">
        <v>56</v>
      </c>
      <c r="F18" s="62" t="s">
        <v>56</v>
      </c>
      <c r="G18" s="37" t="s">
        <v>58</v>
      </c>
      <c r="H18" s="37" t="s">
        <v>83</v>
      </c>
      <c r="I18" s="37" t="s">
        <v>59</v>
      </c>
      <c r="J18" s="38" t="s">
        <v>83</v>
      </c>
      <c r="K18" s="39" t="s">
        <v>56</v>
      </c>
      <c r="L18" s="37" t="s">
        <v>58</v>
      </c>
      <c r="M18" s="37" t="s">
        <v>83</v>
      </c>
      <c r="N18" s="37" t="s">
        <v>58</v>
      </c>
      <c r="O18" s="37" t="s">
        <v>83</v>
      </c>
      <c r="P18" s="37" t="s">
        <v>59</v>
      </c>
      <c r="Q18" s="38" t="s">
        <v>83</v>
      </c>
      <c r="R18" s="39" t="s">
        <v>56</v>
      </c>
      <c r="S18" s="37" t="s">
        <v>58</v>
      </c>
      <c r="T18" s="37" t="s">
        <v>83</v>
      </c>
      <c r="U18" s="37" t="s">
        <v>58</v>
      </c>
      <c r="V18" s="37" t="s">
        <v>83</v>
      </c>
      <c r="W18" s="37" t="s">
        <v>59</v>
      </c>
      <c r="X18" s="38" t="s">
        <v>83</v>
      </c>
      <c r="Y18" s="39" t="s">
        <v>56</v>
      </c>
      <c r="Z18" s="37" t="s">
        <v>58</v>
      </c>
      <c r="AA18" s="37" t="s">
        <v>83</v>
      </c>
      <c r="AB18" s="37" t="s">
        <v>58</v>
      </c>
      <c r="AC18" s="37" t="s">
        <v>83</v>
      </c>
      <c r="AD18" s="37" t="s">
        <v>59</v>
      </c>
      <c r="AE18" s="38" t="s">
        <v>83</v>
      </c>
      <c r="AF18" s="39" t="s">
        <v>56</v>
      </c>
      <c r="AG18" s="37" t="s">
        <v>58</v>
      </c>
      <c r="AH18" s="37" t="s">
        <v>83</v>
      </c>
      <c r="AI18" s="63"/>
      <c r="AJ18" s="37">
        <f t="shared" ref="AJ18:AJ24" si="3">COUNTA(E18:AH18)-COUNTIF(E18:AH18,"X")-COUNTIF(E18:AH18,"P")</f>
        <v>24</v>
      </c>
      <c r="AK18" s="37">
        <f t="shared" ref="AK18:AK24" si="4">COUNTIF(E18:AH18,"X")+COUNTIF(E18:AH18,"P")</f>
        <v>6</v>
      </c>
    </row>
    <row r="19" spans="1:37" x14ac:dyDescent="0.4">
      <c r="A19" s="44">
        <v>11</v>
      </c>
      <c r="B19" s="45" t="s">
        <v>84</v>
      </c>
      <c r="C19" s="46" t="s">
        <v>82</v>
      </c>
      <c r="D19" s="46" t="s">
        <v>61</v>
      </c>
      <c r="E19" s="62" t="s">
        <v>56</v>
      </c>
      <c r="F19" s="62" t="s">
        <v>56</v>
      </c>
      <c r="G19" s="37" t="s">
        <v>62</v>
      </c>
      <c r="H19" s="37" t="s">
        <v>58</v>
      </c>
      <c r="I19" s="37" t="s">
        <v>59</v>
      </c>
      <c r="J19" s="38" t="s">
        <v>59</v>
      </c>
      <c r="K19" s="39" t="s">
        <v>56</v>
      </c>
      <c r="L19" s="37" t="s">
        <v>62</v>
      </c>
      <c r="M19" s="37" t="s">
        <v>58</v>
      </c>
      <c r="N19" s="37" t="s">
        <v>62</v>
      </c>
      <c r="O19" s="37" t="s">
        <v>58</v>
      </c>
      <c r="P19" s="37" t="s">
        <v>59</v>
      </c>
      <c r="Q19" s="38" t="s">
        <v>59</v>
      </c>
      <c r="R19" s="39" t="s">
        <v>56</v>
      </c>
      <c r="S19" s="37" t="s">
        <v>62</v>
      </c>
      <c r="T19" s="37" t="s">
        <v>58</v>
      </c>
      <c r="U19" s="37" t="s">
        <v>62</v>
      </c>
      <c r="V19" s="37" t="s">
        <v>58</v>
      </c>
      <c r="W19" s="37" t="s">
        <v>59</v>
      </c>
      <c r="X19" s="38" t="s">
        <v>59</v>
      </c>
      <c r="Y19" s="39" t="s">
        <v>56</v>
      </c>
      <c r="Z19" s="37" t="s">
        <v>62</v>
      </c>
      <c r="AA19" s="37" t="s">
        <v>58</v>
      </c>
      <c r="AB19" s="37" t="s">
        <v>62</v>
      </c>
      <c r="AC19" s="37" t="s">
        <v>58</v>
      </c>
      <c r="AD19" s="37" t="s">
        <v>59</v>
      </c>
      <c r="AE19" s="38" t="s">
        <v>59</v>
      </c>
      <c r="AF19" s="39" t="s">
        <v>56</v>
      </c>
      <c r="AG19" s="37" t="s">
        <v>62</v>
      </c>
      <c r="AH19" s="37" t="s">
        <v>58</v>
      </c>
      <c r="AI19" s="63"/>
      <c r="AJ19" s="37">
        <f t="shared" si="3"/>
        <v>24</v>
      </c>
      <c r="AK19" s="37">
        <f t="shared" si="4"/>
        <v>6</v>
      </c>
    </row>
    <row r="20" spans="1:37" x14ac:dyDescent="0.4">
      <c r="A20" s="44">
        <v>12</v>
      </c>
      <c r="B20" s="45" t="s">
        <v>85</v>
      </c>
      <c r="C20" s="46" t="s">
        <v>82</v>
      </c>
      <c r="D20" s="46" t="s">
        <v>61</v>
      </c>
      <c r="E20" s="62" t="s">
        <v>56</v>
      </c>
      <c r="F20" s="62" t="s">
        <v>56</v>
      </c>
      <c r="G20" s="37" t="s">
        <v>86</v>
      </c>
      <c r="H20" s="37" t="s">
        <v>86</v>
      </c>
      <c r="I20" s="37" t="s">
        <v>86</v>
      </c>
      <c r="J20" s="39" t="s">
        <v>56</v>
      </c>
      <c r="K20" s="39" t="s">
        <v>56</v>
      </c>
      <c r="L20" s="37" t="s">
        <v>86</v>
      </c>
      <c r="M20" s="37" t="s">
        <v>86</v>
      </c>
      <c r="N20" s="37" t="s">
        <v>86</v>
      </c>
      <c r="O20" s="37" t="s">
        <v>86</v>
      </c>
      <c r="P20" s="37" t="s">
        <v>86</v>
      </c>
      <c r="Q20" s="39" t="s">
        <v>56</v>
      </c>
      <c r="R20" s="39" t="s">
        <v>56</v>
      </c>
      <c r="S20" s="37" t="s">
        <v>86</v>
      </c>
      <c r="T20" s="37" t="s">
        <v>86</v>
      </c>
      <c r="U20" s="37" t="s">
        <v>86</v>
      </c>
      <c r="V20" s="37" t="s">
        <v>86</v>
      </c>
      <c r="W20" s="37" t="s">
        <v>86</v>
      </c>
      <c r="X20" s="39" t="s">
        <v>56</v>
      </c>
      <c r="Y20" s="39" t="s">
        <v>56</v>
      </c>
      <c r="Z20" s="37" t="s">
        <v>86</v>
      </c>
      <c r="AA20" s="37" t="s">
        <v>86</v>
      </c>
      <c r="AB20" s="37" t="s">
        <v>86</v>
      </c>
      <c r="AC20" s="37" t="s">
        <v>86</v>
      </c>
      <c r="AD20" s="37" t="s">
        <v>86</v>
      </c>
      <c r="AE20" s="39" t="s">
        <v>56</v>
      </c>
      <c r="AF20" s="39" t="s">
        <v>56</v>
      </c>
      <c r="AG20" s="37" t="s">
        <v>86</v>
      </c>
      <c r="AH20" s="37" t="s">
        <v>86</v>
      </c>
      <c r="AI20" s="63"/>
      <c r="AJ20" s="37">
        <f t="shared" si="3"/>
        <v>20</v>
      </c>
      <c r="AK20" s="37">
        <f t="shared" si="4"/>
        <v>10</v>
      </c>
    </row>
    <row r="21" spans="1:37" x14ac:dyDescent="0.4">
      <c r="A21" s="44">
        <v>13</v>
      </c>
      <c r="B21" s="45" t="s">
        <v>87</v>
      </c>
      <c r="C21" s="46" t="s">
        <v>82</v>
      </c>
      <c r="D21" s="46" t="s">
        <v>66</v>
      </c>
      <c r="E21" s="62" t="s">
        <v>56</v>
      </c>
      <c r="F21" s="62" t="s">
        <v>56</v>
      </c>
      <c r="G21" s="37"/>
      <c r="H21" s="37" t="s">
        <v>70</v>
      </c>
      <c r="I21" s="37" t="s">
        <v>74</v>
      </c>
      <c r="J21" s="38"/>
      <c r="K21" s="39" t="s">
        <v>56</v>
      </c>
      <c r="L21" s="37" t="s">
        <v>67</v>
      </c>
      <c r="M21" s="37" t="s">
        <v>89</v>
      </c>
      <c r="N21" s="37"/>
      <c r="O21" s="37" t="s">
        <v>70</v>
      </c>
      <c r="P21" s="37" t="s">
        <v>74</v>
      </c>
      <c r="Q21" s="38"/>
      <c r="R21" s="39" t="s">
        <v>56</v>
      </c>
      <c r="S21" s="37" t="s">
        <v>67</v>
      </c>
      <c r="T21" s="37" t="s">
        <v>89</v>
      </c>
      <c r="U21" s="37"/>
      <c r="V21" s="37" t="s">
        <v>70</v>
      </c>
      <c r="W21" s="37" t="s">
        <v>74</v>
      </c>
      <c r="X21" s="38"/>
      <c r="Y21" s="39" t="s">
        <v>56</v>
      </c>
      <c r="Z21" s="37" t="s">
        <v>67</v>
      </c>
      <c r="AA21" s="37" t="s">
        <v>89</v>
      </c>
      <c r="AB21" s="37"/>
      <c r="AC21" s="37" t="s">
        <v>70</v>
      </c>
      <c r="AD21" s="37" t="s">
        <v>74</v>
      </c>
      <c r="AE21" s="38"/>
      <c r="AF21" s="39" t="s">
        <v>56</v>
      </c>
      <c r="AG21" s="37" t="s">
        <v>67</v>
      </c>
      <c r="AH21" s="37" t="s">
        <v>89</v>
      </c>
      <c r="AI21" s="63"/>
      <c r="AJ21" s="37">
        <f t="shared" si="3"/>
        <v>16</v>
      </c>
      <c r="AK21" s="37">
        <f t="shared" si="4"/>
        <v>6</v>
      </c>
    </row>
    <row r="22" spans="1:37" x14ac:dyDescent="0.4">
      <c r="A22" s="44">
        <v>14</v>
      </c>
      <c r="B22" s="45" t="s">
        <v>90</v>
      </c>
      <c r="C22" s="46" t="s">
        <v>82</v>
      </c>
      <c r="D22" s="46" t="s">
        <v>66</v>
      </c>
      <c r="E22" s="62" t="s">
        <v>56</v>
      </c>
      <c r="F22" s="62" t="s">
        <v>56</v>
      </c>
      <c r="G22" s="37"/>
      <c r="H22" s="37" t="s">
        <v>71</v>
      </c>
      <c r="I22" s="37" t="s">
        <v>74</v>
      </c>
      <c r="J22" s="38"/>
      <c r="K22" s="39" t="s">
        <v>56</v>
      </c>
      <c r="L22" s="37" t="s">
        <v>68</v>
      </c>
      <c r="M22" s="37" t="s">
        <v>89</v>
      </c>
      <c r="N22" s="37"/>
      <c r="O22" s="37" t="s">
        <v>71</v>
      </c>
      <c r="P22" s="37" t="s">
        <v>74</v>
      </c>
      <c r="Q22" s="38"/>
      <c r="R22" s="39" t="s">
        <v>56</v>
      </c>
      <c r="S22" s="37" t="s">
        <v>68</v>
      </c>
      <c r="T22" s="37" t="s">
        <v>89</v>
      </c>
      <c r="U22" s="37"/>
      <c r="V22" s="37" t="s">
        <v>71</v>
      </c>
      <c r="W22" s="37" t="s">
        <v>74</v>
      </c>
      <c r="X22" s="38"/>
      <c r="Y22" s="39" t="s">
        <v>56</v>
      </c>
      <c r="Z22" s="37" t="s">
        <v>68</v>
      </c>
      <c r="AA22" s="37" t="s">
        <v>89</v>
      </c>
      <c r="AB22" s="37"/>
      <c r="AC22" s="37" t="s">
        <v>71</v>
      </c>
      <c r="AD22" s="37" t="s">
        <v>74</v>
      </c>
      <c r="AE22" s="38"/>
      <c r="AF22" s="39" t="s">
        <v>56</v>
      </c>
      <c r="AG22" s="37" t="s">
        <v>68</v>
      </c>
      <c r="AH22" s="37" t="s">
        <v>89</v>
      </c>
      <c r="AI22" s="63"/>
      <c r="AJ22" s="37">
        <f t="shared" si="3"/>
        <v>16</v>
      </c>
      <c r="AK22" s="37">
        <f t="shared" si="4"/>
        <v>6</v>
      </c>
    </row>
    <row r="23" spans="1:37" x14ac:dyDescent="0.4">
      <c r="A23" s="44">
        <v>15</v>
      </c>
      <c r="B23" s="45" t="s">
        <v>92</v>
      </c>
      <c r="C23" s="46" t="s">
        <v>82</v>
      </c>
      <c r="D23" s="46" t="s">
        <v>66</v>
      </c>
      <c r="E23" s="62" t="s">
        <v>56</v>
      </c>
      <c r="F23" s="62" t="s">
        <v>56</v>
      </c>
      <c r="G23" s="37" t="s">
        <v>67</v>
      </c>
      <c r="H23" s="37" t="s">
        <v>74</v>
      </c>
      <c r="I23" s="37" t="s">
        <v>71</v>
      </c>
      <c r="J23" s="38" t="s">
        <v>68</v>
      </c>
      <c r="K23" s="39" t="s">
        <v>56</v>
      </c>
      <c r="L23" s="37" t="s">
        <v>67</v>
      </c>
      <c r="M23" s="37" t="s">
        <v>70</v>
      </c>
      <c r="N23" s="37" t="s">
        <v>67</v>
      </c>
      <c r="O23" s="37" t="s">
        <v>74</v>
      </c>
      <c r="P23" s="37" t="s">
        <v>71</v>
      </c>
      <c r="Q23" s="38" t="s">
        <v>68</v>
      </c>
      <c r="R23" s="39" t="s">
        <v>56</v>
      </c>
      <c r="S23" s="37" t="s">
        <v>67</v>
      </c>
      <c r="T23" s="37" t="s">
        <v>70</v>
      </c>
      <c r="U23" s="37" t="s">
        <v>67</v>
      </c>
      <c r="V23" s="37" t="s">
        <v>74</v>
      </c>
      <c r="W23" s="37" t="s">
        <v>71</v>
      </c>
      <c r="X23" s="38" t="s">
        <v>68</v>
      </c>
      <c r="Y23" s="39" t="s">
        <v>56</v>
      </c>
      <c r="Z23" s="37" t="s">
        <v>67</v>
      </c>
      <c r="AA23" s="37" t="s">
        <v>70</v>
      </c>
      <c r="AB23" s="37" t="s">
        <v>67</v>
      </c>
      <c r="AC23" s="37" t="s">
        <v>74</v>
      </c>
      <c r="AD23" s="37" t="s">
        <v>71</v>
      </c>
      <c r="AE23" s="38" t="s">
        <v>68</v>
      </c>
      <c r="AF23" s="39" t="s">
        <v>56</v>
      </c>
      <c r="AG23" s="37" t="s">
        <v>67</v>
      </c>
      <c r="AH23" s="37" t="s">
        <v>70</v>
      </c>
      <c r="AI23" s="63"/>
      <c r="AJ23" s="37">
        <f t="shared" si="3"/>
        <v>24</v>
      </c>
      <c r="AK23" s="37">
        <f t="shared" si="4"/>
        <v>6</v>
      </c>
    </row>
    <row r="24" spans="1:37" x14ac:dyDescent="0.4">
      <c r="A24" s="44">
        <v>16</v>
      </c>
      <c r="B24" s="45" t="s">
        <v>94</v>
      </c>
      <c r="C24" s="46" t="s">
        <v>82</v>
      </c>
      <c r="D24" s="46" t="s">
        <v>66</v>
      </c>
      <c r="E24" s="62" t="s">
        <v>56</v>
      </c>
      <c r="F24" s="62" t="s">
        <v>56</v>
      </c>
      <c r="G24" s="37" t="s">
        <v>67</v>
      </c>
      <c r="H24" s="37" t="s">
        <v>70</v>
      </c>
      <c r="I24" s="37"/>
      <c r="J24" s="38" t="s">
        <v>68</v>
      </c>
      <c r="K24" s="39" t="s">
        <v>56</v>
      </c>
      <c r="L24" s="37" t="s">
        <v>71</v>
      </c>
      <c r="M24" s="37"/>
      <c r="N24" s="37" t="s">
        <v>67</v>
      </c>
      <c r="O24" s="37" t="s">
        <v>70</v>
      </c>
      <c r="P24" s="37"/>
      <c r="Q24" s="38" t="s">
        <v>68</v>
      </c>
      <c r="R24" s="39" t="s">
        <v>56</v>
      </c>
      <c r="S24" s="37" t="s">
        <v>71</v>
      </c>
      <c r="T24" s="37"/>
      <c r="U24" s="37" t="s">
        <v>67</v>
      </c>
      <c r="V24" s="37" t="s">
        <v>70</v>
      </c>
      <c r="W24" s="37"/>
      <c r="X24" s="38" t="s">
        <v>68</v>
      </c>
      <c r="Y24" s="39" t="s">
        <v>56</v>
      </c>
      <c r="Z24" s="37" t="s">
        <v>71</v>
      </c>
      <c r="AA24" s="37"/>
      <c r="AB24" s="37" t="s">
        <v>67</v>
      </c>
      <c r="AC24" s="37" t="s">
        <v>70</v>
      </c>
      <c r="AD24" s="37"/>
      <c r="AE24" s="38" t="s">
        <v>68</v>
      </c>
      <c r="AF24" s="39" t="s">
        <v>56</v>
      </c>
      <c r="AG24" s="37" t="s">
        <v>71</v>
      </c>
      <c r="AH24" s="37"/>
      <c r="AI24" s="63"/>
      <c r="AJ24" s="37">
        <f t="shared" si="3"/>
        <v>16</v>
      </c>
      <c r="AK24" s="37">
        <f t="shared" si="4"/>
        <v>6</v>
      </c>
    </row>
    <row r="25" spans="1:37" x14ac:dyDescent="0.4">
      <c r="A25" s="47" t="s">
        <v>122</v>
      </c>
      <c r="B25" s="48"/>
      <c r="C25" s="48"/>
      <c r="D25" s="48"/>
      <c r="E25" s="48">
        <f t="shared" ref="E25:AH25" si="5">COUNTA(E18:E24)-COUNTIF(E18:E24,"X")-COUNTIF(E18:E24,"P")</f>
        <v>0</v>
      </c>
      <c r="F25" s="48">
        <f t="shared" si="5"/>
        <v>0</v>
      </c>
      <c r="G25" s="48">
        <f t="shared" si="5"/>
        <v>5</v>
      </c>
      <c r="H25" s="48">
        <f t="shared" si="5"/>
        <v>7</v>
      </c>
      <c r="I25" s="48">
        <f t="shared" si="5"/>
        <v>6</v>
      </c>
      <c r="J25" s="48">
        <f t="shared" si="5"/>
        <v>4</v>
      </c>
      <c r="K25" s="48">
        <f t="shared" si="5"/>
        <v>0</v>
      </c>
      <c r="L25" s="48">
        <f t="shared" si="5"/>
        <v>7</v>
      </c>
      <c r="M25" s="48">
        <f t="shared" si="5"/>
        <v>6</v>
      </c>
      <c r="N25" s="48">
        <f t="shared" si="5"/>
        <v>5</v>
      </c>
      <c r="O25" s="48">
        <f t="shared" si="5"/>
        <v>7</v>
      </c>
      <c r="P25" s="48">
        <f t="shared" si="5"/>
        <v>6</v>
      </c>
      <c r="Q25" s="48">
        <f t="shared" si="5"/>
        <v>4</v>
      </c>
      <c r="R25" s="48">
        <f t="shared" si="5"/>
        <v>0</v>
      </c>
      <c r="S25" s="48">
        <f t="shared" si="5"/>
        <v>7</v>
      </c>
      <c r="T25" s="48">
        <f t="shared" si="5"/>
        <v>6</v>
      </c>
      <c r="U25" s="48">
        <f t="shared" si="5"/>
        <v>5</v>
      </c>
      <c r="V25" s="48">
        <f t="shared" si="5"/>
        <v>7</v>
      </c>
      <c r="W25" s="48">
        <f t="shared" si="5"/>
        <v>6</v>
      </c>
      <c r="X25" s="48">
        <f t="shared" si="5"/>
        <v>4</v>
      </c>
      <c r="Y25" s="48">
        <f t="shared" si="5"/>
        <v>0</v>
      </c>
      <c r="Z25" s="48">
        <f t="shared" si="5"/>
        <v>7</v>
      </c>
      <c r="AA25" s="48">
        <f t="shared" si="5"/>
        <v>6</v>
      </c>
      <c r="AB25" s="48">
        <f t="shared" si="5"/>
        <v>5</v>
      </c>
      <c r="AC25" s="48">
        <f t="shared" si="5"/>
        <v>7</v>
      </c>
      <c r="AD25" s="48">
        <f t="shared" si="5"/>
        <v>6</v>
      </c>
      <c r="AE25" s="48">
        <f t="shared" si="5"/>
        <v>4</v>
      </c>
      <c r="AF25" s="48">
        <f t="shared" si="5"/>
        <v>0</v>
      </c>
      <c r="AG25" s="48">
        <f t="shared" si="5"/>
        <v>7</v>
      </c>
      <c r="AH25" s="48">
        <f t="shared" si="5"/>
        <v>6</v>
      </c>
      <c r="AI25" s="48"/>
      <c r="AJ25" s="48">
        <f>SUM(AJ18:AJ24)</f>
        <v>140</v>
      </c>
      <c r="AK25" s="48">
        <f>SUM(AK18:AK24)</f>
        <v>46</v>
      </c>
    </row>
    <row r="27" spans="1:37" x14ac:dyDescent="0.4">
      <c r="A27" s="49" t="s">
        <v>123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</row>
    <row r="28" spans="1:37" x14ac:dyDescent="0.4">
      <c r="A28" s="51">
        <v>17</v>
      </c>
      <c r="B28" s="52" t="s">
        <v>96</v>
      </c>
      <c r="C28" s="53" t="s">
        <v>97</v>
      </c>
      <c r="D28" s="53" t="s">
        <v>98</v>
      </c>
      <c r="E28" s="62" t="s">
        <v>56</v>
      </c>
      <c r="F28" s="62" t="s">
        <v>56</v>
      </c>
      <c r="G28" s="37" t="s">
        <v>99</v>
      </c>
      <c r="H28" s="37" t="s">
        <v>99</v>
      </c>
      <c r="I28" s="37" t="s">
        <v>99</v>
      </c>
      <c r="J28" s="38" t="s">
        <v>99</v>
      </c>
      <c r="K28" s="39" t="s">
        <v>56</v>
      </c>
      <c r="L28" s="37" t="s">
        <v>99</v>
      </c>
      <c r="M28" s="37" t="s">
        <v>99</v>
      </c>
      <c r="N28" s="37" t="s">
        <v>99</v>
      </c>
      <c r="O28" s="37" t="s">
        <v>99</v>
      </c>
      <c r="P28" s="37" t="s">
        <v>99</v>
      </c>
      <c r="Q28" s="38" t="s">
        <v>99</v>
      </c>
      <c r="R28" s="39" t="s">
        <v>56</v>
      </c>
      <c r="S28" s="37" t="s">
        <v>99</v>
      </c>
      <c r="T28" s="37" t="s">
        <v>99</v>
      </c>
      <c r="U28" s="37" t="s">
        <v>99</v>
      </c>
      <c r="V28" s="37" t="s">
        <v>99</v>
      </c>
      <c r="W28" s="37" t="s">
        <v>99</v>
      </c>
      <c r="X28" s="38" t="s">
        <v>99</v>
      </c>
      <c r="Y28" s="39" t="s">
        <v>56</v>
      </c>
      <c r="Z28" s="37" t="s">
        <v>99</v>
      </c>
      <c r="AA28" s="37" t="s">
        <v>99</v>
      </c>
      <c r="AB28" s="37" t="s">
        <v>99</v>
      </c>
      <c r="AC28" s="37" t="s">
        <v>99</v>
      </c>
      <c r="AD28" s="37" t="s">
        <v>99</v>
      </c>
      <c r="AE28" s="38" t="s">
        <v>99</v>
      </c>
      <c r="AF28" s="39" t="s">
        <v>56</v>
      </c>
      <c r="AG28" s="37" t="s">
        <v>99</v>
      </c>
      <c r="AH28" s="37" t="s">
        <v>99</v>
      </c>
      <c r="AI28" s="63"/>
      <c r="AJ28" s="37">
        <f>COUNTA(E28:AH28)-COUNTIF(E28:AH28,"X")-COUNTIF(E28:AH28,"P")</f>
        <v>24</v>
      </c>
      <c r="AK28" s="37">
        <f>COUNTIF(E28:AH28,"X")+COUNTIF(E28:AH28,"P")</f>
        <v>6</v>
      </c>
    </row>
    <row r="29" spans="1:37" x14ac:dyDescent="0.4">
      <c r="A29" s="51">
        <v>18</v>
      </c>
      <c r="B29" s="52" t="s">
        <v>100</v>
      </c>
      <c r="C29" s="53" t="s">
        <v>97</v>
      </c>
      <c r="D29" s="53" t="s">
        <v>101</v>
      </c>
      <c r="E29" s="62" t="s">
        <v>56</v>
      </c>
      <c r="F29" s="62" t="s">
        <v>56</v>
      </c>
      <c r="G29" s="37" t="s">
        <v>99</v>
      </c>
      <c r="H29" s="37" t="s">
        <v>99</v>
      </c>
      <c r="I29" s="37" t="s">
        <v>99</v>
      </c>
      <c r="J29" s="38" t="s">
        <v>99</v>
      </c>
      <c r="K29" s="39" t="s">
        <v>56</v>
      </c>
      <c r="L29" s="37" t="s">
        <v>99</v>
      </c>
      <c r="M29" s="37" t="s">
        <v>99</v>
      </c>
      <c r="N29" s="37" t="s">
        <v>99</v>
      </c>
      <c r="O29" s="37" t="s">
        <v>99</v>
      </c>
      <c r="P29" s="37" t="s">
        <v>99</v>
      </c>
      <c r="Q29" s="38" t="s">
        <v>99</v>
      </c>
      <c r="R29" s="39" t="s">
        <v>56</v>
      </c>
      <c r="S29" s="37" t="s">
        <v>99</v>
      </c>
      <c r="T29" s="37" t="s">
        <v>99</v>
      </c>
      <c r="U29" s="37" t="s">
        <v>99</v>
      </c>
      <c r="V29" s="37" t="s">
        <v>99</v>
      </c>
      <c r="W29" s="37" t="s">
        <v>99</v>
      </c>
      <c r="X29" s="38" t="s">
        <v>99</v>
      </c>
      <c r="Y29" s="39" t="s">
        <v>56</v>
      </c>
      <c r="Z29" s="37" t="s">
        <v>99</v>
      </c>
      <c r="AA29" s="37" t="s">
        <v>99</v>
      </c>
      <c r="AB29" s="37" t="s">
        <v>99</v>
      </c>
      <c r="AC29" s="37" t="s">
        <v>99</v>
      </c>
      <c r="AD29" s="37" t="s">
        <v>99</v>
      </c>
      <c r="AE29" s="38" t="s">
        <v>99</v>
      </c>
      <c r="AF29" s="39" t="s">
        <v>56</v>
      </c>
      <c r="AG29" s="37" t="s">
        <v>99</v>
      </c>
      <c r="AH29" s="37" t="s">
        <v>99</v>
      </c>
      <c r="AI29" s="63"/>
      <c r="AJ29" s="37">
        <f>COUNTA(E29:AH29)-COUNTIF(E29:AH29,"X")-COUNTIF(E29:AH29,"P")</f>
        <v>24</v>
      </c>
      <c r="AK29" s="37">
        <f>COUNTIF(E29:AH29,"X")+COUNTIF(E29:AH29,"P")</f>
        <v>6</v>
      </c>
    </row>
    <row r="30" spans="1:37" x14ac:dyDescent="0.4">
      <c r="A30" s="51">
        <v>19</v>
      </c>
      <c r="B30" s="52" t="s">
        <v>102</v>
      </c>
      <c r="C30" s="53" t="s">
        <v>97</v>
      </c>
      <c r="D30" s="53" t="s">
        <v>103</v>
      </c>
      <c r="E30" s="62" t="s">
        <v>56</v>
      </c>
      <c r="F30" s="62" t="s">
        <v>56</v>
      </c>
      <c r="G30" s="37" t="s">
        <v>99</v>
      </c>
      <c r="H30" s="37" t="s">
        <v>99</v>
      </c>
      <c r="I30" s="37" t="s">
        <v>99</v>
      </c>
      <c r="J30" s="38" t="s">
        <v>99</v>
      </c>
      <c r="K30" s="39" t="s">
        <v>56</v>
      </c>
      <c r="L30" s="37" t="s">
        <v>99</v>
      </c>
      <c r="M30" s="37" t="s">
        <v>99</v>
      </c>
      <c r="N30" s="37" t="s">
        <v>99</v>
      </c>
      <c r="O30" s="37" t="s">
        <v>99</v>
      </c>
      <c r="P30" s="37" t="s">
        <v>99</v>
      </c>
      <c r="Q30" s="38" t="s">
        <v>99</v>
      </c>
      <c r="R30" s="39" t="s">
        <v>56</v>
      </c>
      <c r="S30" s="37" t="s">
        <v>99</v>
      </c>
      <c r="T30" s="37" t="s">
        <v>99</v>
      </c>
      <c r="U30" s="37" t="s">
        <v>99</v>
      </c>
      <c r="V30" s="37" t="s">
        <v>99</v>
      </c>
      <c r="W30" s="37" t="s">
        <v>99</v>
      </c>
      <c r="X30" s="38" t="s">
        <v>99</v>
      </c>
      <c r="Y30" s="39" t="s">
        <v>56</v>
      </c>
      <c r="Z30" s="37" t="s">
        <v>99</v>
      </c>
      <c r="AA30" s="37" t="s">
        <v>99</v>
      </c>
      <c r="AB30" s="37" t="s">
        <v>99</v>
      </c>
      <c r="AC30" s="37" t="s">
        <v>99</v>
      </c>
      <c r="AD30" s="37" t="s">
        <v>99</v>
      </c>
      <c r="AE30" s="38" t="s">
        <v>99</v>
      </c>
      <c r="AF30" s="39" t="s">
        <v>56</v>
      </c>
      <c r="AG30" s="37" t="s">
        <v>99</v>
      </c>
      <c r="AH30" s="37" t="s">
        <v>99</v>
      </c>
      <c r="AI30" s="63"/>
      <c r="AJ30" s="37">
        <f>COUNTA(E30:AH30)-COUNTIF(E30:AH30,"X")-COUNTIF(E30:AH30,"P")</f>
        <v>24</v>
      </c>
      <c r="AK30" s="37">
        <f>COUNTIF(E30:AH30,"X")+COUNTIF(E30:AH30,"P")</f>
        <v>6</v>
      </c>
    </row>
    <row r="31" spans="1:37" x14ac:dyDescent="0.4">
      <c r="A31" s="51">
        <v>20</v>
      </c>
      <c r="B31" s="52" t="s">
        <v>104</v>
      </c>
      <c r="C31" s="53" t="s">
        <v>97</v>
      </c>
      <c r="D31" s="53" t="s">
        <v>105</v>
      </c>
      <c r="E31" s="62" t="s">
        <v>56</v>
      </c>
      <c r="F31" s="62" t="s">
        <v>56</v>
      </c>
      <c r="G31" s="37" t="s">
        <v>99</v>
      </c>
      <c r="H31" s="37" t="s">
        <v>99</v>
      </c>
      <c r="I31" s="37" t="s">
        <v>99</v>
      </c>
      <c r="J31" s="38" t="s">
        <v>106</v>
      </c>
      <c r="K31" s="37" t="s">
        <v>106</v>
      </c>
      <c r="L31" s="37" t="s">
        <v>99</v>
      </c>
      <c r="M31" s="37" t="s">
        <v>99</v>
      </c>
      <c r="N31" s="37" t="s">
        <v>99</v>
      </c>
      <c r="O31" s="37" t="s">
        <v>99</v>
      </c>
      <c r="P31" s="37" t="s">
        <v>99</v>
      </c>
      <c r="Q31" s="38" t="s">
        <v>106</v>
      </c>
      <c r="R31" s="37" t="s">
        <v>106</v>
      </c>
      <c r="S31" s="37" t="s">
        <v>99</v>
      </c>
      <c r="T31" s="37" t="s">
        <v>99</v>
      </c>
      <c r="U31" s="37" t="s">
        <v>99</v>
      </c>
      <c r="V31" s="37" t="s">
        <v>99</v>
      </c>
      <c r="W31" s="37" t="s">
        <v>99</v>
      </c>
      <c r="X31" s="38" t="s">
        <v>106</v>
      </c>
      <c r="Y31" s="37" t="s">
        <v>106</v>
      </c>
      <c r="Z31" s="37" t="s">
        <v>99</v>
      </c>
      <c r="AA31" s="37" t="s">
        <v>99</v>
      </c>
      <c r="AB31" s="37" t="s">
        <v>99</v>
      </c>
      <c r="AC31" s="37" t="s">
        <v>99</v>
      </c>
      <c r="AD31" s="37" t="s">
        <v>99</v>
      </c>
      <c r="AE31" s="38" t="s">
        <v>106</v>
      </c>
      <c r="AF31" s="37" t="s">
        <v>106</v>
      </c>
      <c r="AG31" s="37" t="s">
        <v>99</v>
      </c>
      <c r="AH31" s="37" t="s">
        <v>99</v>
      </c>
      <c r="AI31" s="63"/>
      <c r="AJ31" s="37">
        <f>COUNTA(E31:AH31)-COUNTIF(E31:AH31,"X")-COUNTIF(E31:AH31,"P")</f>
        <v>28</v>
      </c>
      <c r="AK31" s="37">
        <f>COUNTIF(E31:AH31,"X")+COUNTIF(E31:AH31,"P")</f>
        <v>2</v>
      </c>
    </row>
    <row r="32" spans="1:37" x14ac:dyDescent="0.4">
      <c r="A32" s="54" t="s">
        <v>124</v>
      </c>
      <c r="B32" s="55"/>
      <c r="C32" s="55"/>
      <c r="D32" s="55"/>
      <c r="E32" s="55">
        <f t="shared" ref="E32:AH32" si="6">COUNTA(E28:E31)-COUNTIF(E28:E31,"X")-COUNTIF(E28:E31,"P")</f>
        <v>0</v>
      </c>
      <c r="F32" s="55">
        <f t="shared" si="6"/>
        <v>0</v>
      </c>
      <c r="G32" s="55">
        <f t="shared" si="6"/>
        <v>4</v>
      </c>
      <c r="H32" s="55">
        <f t="shared" si="6"/>
        <v>4</v>
      </c>
      <c r="I32" s="55">
        <f t="shared" si="6"/>
        <v>4</v>
      </c>
      <c r="J32" s="55">
        <f t="shared" si="6"/>
        <v>4</v>
      </c>
      <c r="K32" s="55">
        <f t="shared" si="6"/>
        <v>1</v>
      </c>
      <c r="L32" s="55">
        <f t="shared" si="6"/>
        <v>4</v>
      </c>
      <c r="M32" s="55">
        <f t="shared" si="6"/>
        <v>4</v>
      </c>
      <c r="N32" s="55">
        <f t="shared" si="6"/>
        <v>4</v>
      </c>
      <c r="O32" s="55">
        <f t="shared" si="6"/>
        <v>4</v>
      </c>
      <c r="P32" s="55">
        <f t="shared" si="6"/>
        <v>4</v>
      </c>
      <c r="Q32" s="55">
        <f t="shared" si="6"/>
        <v>4</v>
      </c>
      <c r="R32" s="55">
        <f t="shared" si="6"/>
        <v>1</v>
      </c>
      <c r="S32" s="55">
        <f t="shared" si="6"/>
        <v>4</v>
      </c>
      <c r="T32" s="55">
        <f t="shared" si="6"/>
        <v>4</v>
      </c>
      <c r="U32" s="55">
        <f t="shared" si="6"/>
        <v>4</v>
      </c>
      <c r="V32" s="55">
        <f t="shared" si="6"/>
        <v>4</v>
      </c>
      <c r="W32" s="55">
        <f t="shared" si="6"/>
        <v>4</v>
      </c>
      <c r="X32" s="55">
        <f t="shared" si="6"/>
        <v>4</v>
      </c>
      <c r="Y32" s="55">
        <f t="shared" si="6"/>
        <v>1</v>
      </c>
      <c r="Z32" s="55">
        <f t="shared" si="6"/>
        <v>4</v>
      </c>
      <c r="AA32" s="55">
        <f t="shared" si="6"/>
        <v>4</v>
      </c>
      <c r="AB32" s="55">
        <f t="shared" si="6"/>
        <v>4</v>
      </c>
      <c r="AC32" s="55">
        <f t="shared" si="6"/>
        <v>4</v>
      </c>
      <c r="AD32" s="55">
        <f t="shared" si="6"/>
        <v>4</v>
      </c>
      <c r="AE32" s="55">
        <f t="shared" si="6"/>
        <v>4</v>
      </c>
      <c r="AF32" s="55">
        <f t="shared" si="6"/>
        <v>1</v>
      </c>
      <c r="AG32" s="55">
        <f t="shared" si="6"/>
        <v>4</v>
      </c>
      <c r="AH32" s="55">
        <f t="shared" si="6"/>
        <v>4</v>
      </c>
      <c r="AI32" s="55"/>
      <c r="AJ32" s="55">
        <f>SUM(AJ28:AJ31)</f>
        <v>100</v>
      </c>
      <c r="AK32" s="55">
        <f>SUM(AK28:AK31)</f>
        <v>20</v>
      </c>
    </row>
    <row r="34" spans="1:4" x14ac:dyDescent="0.4">
      <c r="A34" s="56" t="s">
        <v>125</v>
      </c>
    </row>
    <row r="35" spans="1:4" x14ac:dyDescent="0.4">
      <c r="A35" s="57" t="s">
        <v>58</v>
      </c>
      <c r="B35" s="58" t="s">
        <v>126</v>
      </c>
      <c r="D35" s="59" t="s">
        <v>127</v>
      </c>
    </row>
    <row r="36" spans="1:4" x14ac:dyDescent="0.4">
      <c r="A36" s="57" t="s">
        <v>62</v>
      </c>
      <c r="B36" s="58" t="s">
        <v>128</v>
      </c>
      <c r="D36" s="59" t="s">
        <v>129</v>
      </c>
    </row>
    <row r="37" spans="1:4" x14ac:dyDescent="0.4">
      <c r="A37" s="57" t="s">
        <v>59</v>
      </c>
      <c r="B37" s="58" t="s">
        <v>130</v>
      </c>
      <c r="D37" s="59" t="s">
        <v>131</v>
      </c>
    </row>
    <row r="38" spans="1:4" x14ac:dyDescent="0.4">
      <c r="A38" s="57" t="s">
        <v>86</v>
      </c>
      <c r="B38" s="58" t="s">
        <v>132</v>
      </c>
      <c r="D38" s="59" t="s">
        <v>133</v>
      </c>
    </row>
    <row r="39" spans="1:4" x14ac:dyDescent="0.4">
      <c r="A39" s="57" t="s">
        <v>83</v>
      </c>
      <c r="B39" s="58" t="s">
        <v>134</v>
      </c>
      <c r="D39" s="59"/>
    </row>
    <row r="40" spans="1:4" x14ac:dyDescent="0.4">
      <c r="A40" s="57" t="s">
        <v>57</v>
      </c>
      <c r="B40" s="58" t="s">
        <v>135</v>
      </c>
      <c r="D40" s="59"/>
    </row>
    <row r="41" spans="1:4" x14ac:dyDescent="0.4">
      <c r="A41" s="57" t="s">
        <v>99</v>
      </c>
      <c r="B41" s="58" t="s">
        <v>136</v>
      </c>
      <c r="D41" s="59" t="s">
        <v>137</v>
      </c>
    </row>
    <row r="42" spans="1:4" x14ac:dyDescent="0.4">
      <c r="A42" s="57" t="s">
        <v>138</v>
      </c>
      <c r="B42" s="58" t="s">
        <v>139</v>
      </c>
      <c r="D42" s="59" t="s">
        <v>137</v>
      </c>
    </row>
    <row r="43" spans="1:4" x14ac:dyDescent="0.4">
      <c r="A43" s="57" t="s">
        <v>140</v>
      </c>
      <c r="B43" s="58" t="s">
        <v>141</v>
      </c>
      <c r="D43" s="59" t="s">
        <v>137</v>
      </c>
    </row>
    <row r="44" spans="1:4" x14ac:dyDescent="0.4">
      <c r="A44" s="57" t="s">
        <v>142</v>
      </c>
      <c r="B44" s="58" t="s">
        <v>143</v>
      </c>
      <c r="D44" s="59" t="s">
        <v>137</v>
      </c>
    </row>
    <row r="45" spans="1:4" x14ac:dyDescent="0.4">
      <c r="A45" s="57" t="s">
        <v>68</v>
      </c>
      <c r="B45" s="58" t="s">
        <v>144</v>
      </c>
      <c r="D45" s="59" t="s">
        <v>145</v>
      </c>
    </row>
    <row r="46" spans="1:4" x14ac:dyDescent="0.4">
      <c r="A46" s="57" t="s">
        <v>74</v>
      </c>
      <c r="B46" s="58" t="s">
        <v>146</v>
      </c>
      <c r="D46" s="59" t="s">
        <v>147</v>
      </c>
    </row>
    <row r="47" spans="1:4" x14ac:dyDescent="0.4">
      <c r="A47" s="57" t="s">
        <v>70</v>
      </c>
      <c r="B47" s="58" t="s">
        <v>148</v>
      </c>
      <c r="D47" s="59" t="s">
        <v>149</v>
      </c>
    </row>
    <row r="48" spans="1:4" x14ac:dyDescent="0.4">
      <c r="A48" s="57" t="s">
        <v>71</v>
      </c>
      <c r="B48" s="58" t="s">
        <v>150</v>
      </c>
      <c r="D48" s="59" t="s">
        <v>151</v>
      </c>
    </row>
    <row r="49" spans="1:4" x14ac:dyDescent="0.4">
      <c r="A49" s="57" t="s">
        <v>89</v>
      </c>
      <c r="B49" s="58" t="s">
        <v>152</v>
      </c>
      <c r="D49" s="59" t="s">
        <v>153</v>
      </c>
    </row>
    <row r="50" spans="1:4" x14ac:dyDescent="0.4">
      <c r="A50" s="57" t="s">
        <v>67</v>
      </c>
      <c r="B50" s="58" t="s">
        <v>154</v>
      </c>
      <c r="D50" s="59" t="s">
        <v>155</v>
      </c>
    </row>
    <row r="51" spans="1:4" x14ac:dyDescent="0.4">
      <c r="A51" s="57" t="s">
        <v>156</v>
      </c>
      <c r="B51" s="58" t="s">
        <v>157</v>
      </c>
      <c r="D51" s="59" t="s">
        <v>158</v>
      </c>
    </row>
    <row r="52" spans="1:4" x14ac:dyDescent="0.4">
      <c r="A52" s="57" t="s">
        <v>106</v>
      </c>
      <c r="B52" s="58" t="s">
        <v>159</v>
      </c>
      <c r="D52" s="59"/>
    </row>
    <row r="53" spans="1:4" x14ac:dyDescent="0.4">
      <c r="A53" s="57" t="s">
        <v>160</v>
      </c>
      <c r="B53" s="58" t="s">
        <v>161</v>
      </c>
      <c r="D53" s="59" t="s">
        <v>137</v>
      </c>
    </row>
    <row r="54" spans="1:4" x14ac:dyDescent="0.4">
      <c r="A54" s="57" t="s">
        <v>56</v>
      </c>
      <c r="B54" s="58" t="s">
        <v>162</v>
      </c>
      <c r="D54" s="59"/>
    </row>
    <row r="55" spans="1:4" x14ac:dyDescent="0.4">
      <c r="A55" s="57" t="s">
        <v>163</v>
      </c>
      <c r="B55" s="58" t="s">
        <v>164</v>
      </c>
      <c r="D55" s="59"/>
    </row>
  </sheetData>
  <dataValidations count="1">
    <dataValidation type="list" allowBlank="1" sqref="E5:AI33" xr:uid="{00000000-0002-0000-0300-000000000000}">
      <formula1>"CG,CS,CCT,CGD,D1,D2,HC,12,21,2C,S,C,T,SC,ST,CT,SCT,LD,NG,X,P"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5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4" customWidth="1"/>
    <col min="2" max="2" width="16" customWidth="1"/>
    <col min="3" max="3" width="10" customWidth="1"/>
    <col min="4" max="4" width="12" customWidth="1"/>
    <col min="5" max="35" width="4.3828125" customWidth="1"/>
    <col min="36" max="37" width="10" customWidth="1"/>
  </cols>
  <sheetData>
    <row r="1" spans="1:37" ht="16.3" x14ac:dyDescent="0.4">
      <c r="A1" s="23" t="s">
        <v>112</v>
      </c>
    </row>
    <row r="2" spans="1:37" x14ac:dyDescent="0.4">
      <c r="A2" s="24" t="s">
        <v>113</v>
      </c>
      <c r="B2" s="25">
        <v>10</v>
      </c>
      <c r="C2" s="24" t="s">
        <v>114</v>
      </c>
      <c r="D2" s="25">
        <v>2026</v>
      </c>
      <c r="E2" s="26" t="s">
        <v>115</v>
      </c>
    </row>
    <row r="3" spans="1:37" x14ac:dyDescent="0.4">
      <c r="A3" s="9" t="s">
        <v>40</v>
      </c>
      <c r="B3" s="9" t="s">
        <v>116</v>
      </c>
      <c r="C3" s="9" t="s">
        <v>43</v>
      </c>
      <c r="D3" s="9" t="s">
        <v>44</v>
      </c>
      <c r="E3" s="27">
        <v>1</v>
      </c>
      <c r="F3" s="27">
        <v>2</v>
      </c>
      <c r="G3" s="27">
        <v>3</v>
      </c>
      <c r="H3" s="27">
        <v>4</v>
      </c>
      <c r="I3" s="27">
        <v>5</v>
      </c>
      <c r="J3" s="27">
        <v>6</v>
      </c>
      <c r="K3" s="27">
        <v>7</v>
      </c>
      <c r="L3" s="27">
        <v>8</v>
      </c>
      <c r="M3" s="27">
        <v>9</v>
      </c>
      <c r="N3" s="27">
        <v>10</v>
      </c>
      <c r="O3" s="27">
        <v>11</v>
      </c>
      <c r="P3" s="27">
        <v>12</v>
      </c>
      <c r="Q3" s="27">
        <v>13</v>
      </c>
      <c r="R3" s="27">
        <v>14</v>
      </c>
      <c r="S3" s="27">
        <v>15</v>
      </c>
      <c r="T3" s="27">
        <v>16</v>
      </c>
      <c r="U3" s="27">
        <v>17</v>
      </c>
      <c r="V3" s="27">
        <v>18</v>
      </c>
      <c r="W3" s="27">
        <v>19</v>
      </c>
      <c r="X3" s="27">
        <v>20</v>
      </c>
      <c r="Y3" s="27">
        <v>21</v>
      </c>
      <c r="Z3" s="27">
        <v>22</v>
      </c>
      <c r="AA3" s="27">
        <v>23</v>
      </c>
      <c r="AB3" s="27">
        <v>24</v>
      </c>
      <c r="AC3" s="27">
        <v>25</v>
      </c>
      <c r="AD3" s="27">
        <v>26</v>
      </c>
      <c r="AE3" s="27">
        <v>27</v>
      </c>
      <c r="AF3" s="27">
        <v>28</v>
      </c>
      <c r="AG3" s="27">
        <v>29</v>
      </c>
      <c r="AH3" s="27">
        <v>30</v>
      </c>
      <c r="AI3" s="27">
        <v>31</v>
      </c>
      <c r="AJ3" s="27" t="s">
        <v>117</v>
      </c>
      <c r="AK3" s="27" t="s">
        <v>118</v>
      </c>
    </row>
    <row r="4" spans="1:37" x14ac:dyDescent="0.4">
      <c r="A4" s="28"/>
      <c r="B4" s="28"/>
      <c r="C4" s="28"/>
      <c r="D4" s="28"/>
      <c r="E4" s="29" t="s">
        <v>49</v>
      </c>
      <c r="F4" s="29" t="s">
        <v>50</v>
      </c>
      <c r="G4" s="29" t="s">
        <v>51</v>
      </c>
      <c r="H4" s="30" t="s">
        <v>52</v>
      </c>
      <c r="I4" s="29" t="s">
        <v>46</v>
      </c>
      <c r="J4" s="29" t="s">
        <v>47</v>
      </c>
      <c r="K4" s="29" t="s">
        <v>48</v>
      </c>
      <c r="L4" s="29" t="s">
        <v>49</v>
      </c>
      <c r="M4" s="29" t="s">
        <v>50</v>
      </c>
      <c r="N4" s="29" t="s">
        <v>51</v>
      </c>
      <c r="O4" s="30" t="s">
        <v>52</v>
      </c>
      <c r="P4" s="29" t="s">
        <v>46</v>
      </c>
      <c r="Q4" s="29" t="s">
        <v>47</v>
      </c>
      <c r="R4" s="29" t="s">
        <v>48</v>
      </c>
      <c r="S4" s="29" t="s">
        <v>49</v>
      </c>
      <c r="T4" s="29" t="s">
        <v>50</v>
      </c>
      <c r="U4" s="29" t="s">
        <v>51</v>
      </c>
      <c r="V4" s="30" t="s">
        <v>52</v>
      </c>
      <c r="W4" s="29" t="s">
        <v>46</v>
      </c>
      <c r="X4" s="29" t="s">
        <v>47</v>
      </c>
      <c r="Y4" s="29" t="s">
        <v>48</v>
      </c>
      <c r="Z4" s="29" t="s">
        <v>49</v>
      </c>
      <c r="AA4" s="29" t="s">
        <v>50</v>
      </c>
      <c r="AB4" s="29" t="s">
        <v>51</v>
      </c>
      <c r="AC4" s="30" t="s">
        <v>52</v>
      </c>
      <c r="AD4" s="29" t="s">
        <v>46</v>
      </c>
      <c r="AE4" s="29" t="s">
        <v>47</v>
      </c>
      <c r="AF4" s="29" t="s">
        <v>48</v>
      </c>
      <c r="AG4" s="29" t="s">
        <v>49</v>
      </c>
      <c r="AH4" s="29" t="s">
        <v>50</v>
      </c>
      <c r="AI4" s="29" t="s">
        <v>51</v>
      </c>
      <c r="AJ4" s="28"/>
      <c r="AK4" s="28"/>
    </row>
    <row r="5" spans="1:37" x14ac:dyDescent="0.4">
      <c r="A5" s="31" t="s">
        <v>119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 spans="1:37" x14ac:dyDescent="0.4">
      <c r="A6" s="33">
        <v>1</v>
      </c>
      <c r="B6" s="34" t="s">
        <v>53</v>
      </c>
      <c r="C6" s="35" t="s">
        <v>54</v>
      </c>
      <c r="D6" s="35" t="s">
        <v>55</v>
      </c>
      <c r="E6" s="37" t="s">
        <v>57</v>
      </c>
      <c r="F6" s="37" t="s">
        <v>58</v>
      </c>
      <c r="G6" s="37" t="s">
        <v>57</v>
      </c>
      <c r="H6" s="38" t="s">
        <v>59</v>
      </c>
      <c r="I6" s="39" t="s">
        <v>56</v>
      </c>
      <c r="J6" s="37" t="s">
        <v>57</v>
      </c>
      <c r="K6" s="37" t="s">
        <v>58</v>
      </c>
      <c r="L6" s="37" t="s">
        <v>57</v>
      </c>
      <c r="M6" s="37" t="s">
        <v>58</v>
      </c>
      <c r="N6" s="37" t="s">
        <v>57</v>
      </c>
      <c r="O6" s="38" t="s">
        <v>59</v>
      </c>
      <c r="P6" s="39" t="s">
        <v>56</v>
      </c>
      <c r="Q6" s="37" t="s">
        <v>57</v>
      </c>
      <c r="R6" s="37" t="s">
        <v>58</v>
      </c>
      <c r="S6" s="37" t="s">
        <v>57</v>
      </c>
      <c r="T6" s="37" t="s">
        <v>58</v>
      </c>
      <c r="U6" s="37" t="s">
        <v>57</v>
      </c>
      <c r="V6" s="38" t="s">
        <v>59</v>
      </c>
      <c r="W6" s="39" t="s">
        <v>56</v>
      </c>
      <c r="X6" s="37" t="s">
        <v>57</v>
      </c>
      <c r="Y6" s="37" t="s">
        <v>58</v>
      </c>
      <c r="Z6" s="37" t="s">
        <v>57</v>
      </c>
      <c r="AA6" s="37" t="s">
        <v>58</v>
      </c>
      <c r="AB6" s="37" t="s">
        <v>57</v>
      </c>
      <c r="AC6" s="38" t="s">
        <v>59</v>
      </c>
      <c r="AD6" s="39" t="s">
        <v>56</v>
      </c>
      <c r="AE6" s="37" t="s">
        <v>57</v>
      </c>
      <c r="AF6" s="37" t="s">
        <v>58</v>
      </c>
      <c r="AG6" s="37" t="s">
        <v>57</v>
      </c>
      <c r="AH6" s="37" t="s">
        <v>58</v>
      </c>
      <c r="AI6" s="37" t="s">
        <v>57</v>
      </c>
      <c r="AJ6" s="37">
        <f t="shared" ref="AJ6:AJ14" si="0">COUNTA(E6:AI6)-COUNTIF(E6:AI6,"X")-COUNTIF(E6:AI6,"P")</f>
        <v>27</v>
      </c>
      <c r="AK6" s="37">
        <f t="shared" ref="AK6:AK14" si="1">COUNTIF(E6:AI6,"X")+COUNTIF(E6:AI6,"P")</f>
        <v>4</v>
      </c>
    </row>
    <row r="7" spans="1:37" x14ac:dyDescent="0.4">
      <c r="A7" s="33">
        <v>2</v>
      </c>
      <c r="B7" s="34" t="s">
        <v>60</v>
      </c>
      <c r="C7" s="35" t="s">
        <v>54</v>
      </c>
      <c r="D7" s="35" t="s">
        <v>61</v>
      </c>
      <c r="E7" s="37" t="s">
        <v>58</v>
      </c>
      <c r="F7" s="37" t="s">
        <v>62</v>
      </c>
      <c r="G7" s="37" t="s">
        <v>59</v>
      </c>
      <c r="H7" s="38" t="s">
        <v>59</v>
      </c>
      <c r="I7" s="39" t="s">
        <v>56</v>
      </c>
      <c r="J7" s="37" t="s">
        <v>58</v>
      </c>
      <c r="K7" s="37" t="s">
        <v>62</v>
      </c>
      <c r="L7" s="37" t="s">
        <v>58</v>
      </c>
      <c r="M7" s="37" t="s">
        <v>62</v>
      </c>
      <c r="N7" s="37" t="s">
        <v>59</v>
      </c>
      <c r="O7" s="38" t="s">
        <v>59</v>
      </c>
      <c r="P7" s="39" t="s">
        <v>56</v>
      </c>
      <c r="Q7" s="37" t="s">
        <v>58</v>
      </c>
      <c r="R7" s="37" t="s">
        <v>62</v>
      </c>
      <c r="S7" s="37" t="s">
        <v>58</v>
      </c>
      <c r="T7" s="37" t="s">
        <v>62</v>
      </c>
      <c r="U7" s="37" t="s">
        <v>59</v>
      </c>
      <c r="V7" s="38" t="s">
        <v>59</v>
      </c>
      <c r="W7" s="39" t="s">
        <v>56</v>
      </c>
      <c r="X7" s="37" t="s">
        <v>58</v>
      </c>
      <c r="Y7" s="37" t="s">
        <v>62</v>
      </c>
      <c r="Z7" s="37" t="s">
        <v>58</v>
      </c>
      <c r="AA7" s="37" t="s">
        <v>62</v>
      </c>
      <c r="AB7" s="37" t="s">
        <v>59</v>
      </c>
      <c r="AC7" s="38" t="s">
        <v>59</v>
      </c>
      <c r="AD7" s="39" t="s">
        <v>56</v>
      </c>
      <c r="AE7" s="37" t="s">
        <v>58</v>
      </c>
      <c r="AF7" s="37" t="s">
        <v>62</v>
      </c>
      <c r="AG7" s="37" t="s">
        <v>58</v>
      </c>
      <c r="AH7" s="37" t="s">
        <v>62</v>
      </c>
      <c r="AI7" s="37" t="s">
        <v>59</v>
      </c>
      <c r="AJ7" s="37">
        <f t="shared" si="0"/>
        <v>27</v>
      </c>
      <c r="AK7" s="37">
        <f t="shared" si="1"/>
        <v>4</v>
      </c>
    </row>
    <row r="8" spans="1:37" x14ac:dyDescent="0.4">
      <c r="A8" s="33">
        <v>3</v>
      </c>
      <c r="B8" s="34" t="s">
        <v>63</v>
      </c>
      <c r="C8" s="35" t="s">
        <v>54</v>
      </c>
      <c r="D8" s="35" t="s">
        <v>61</v>
      </c>
      <c r="E8" s="37" t="s">
        <v>62</v>
      </c>
      <c r="F8" s="37" t="s">
        <v>58</v>
      </c>
      <c r="G8" s="37" t="s">
        <v>59</v>
      </c>
      <c r="H8" s="38" t="s">
        <v>59</v>
      </c>
      <c r="I8" s="39" t="s">
        <v>56</v>
      </c>
      <c r="J8" s="37" t="s">
        <v>62</v>
      </c>
      <c r="K8" s="37" t="s">
        <v>58</v>
      </c>
      <c r="L8" s="37" t="s">
        <v>62</v>
      </c>
      <c r="M8" s="37" t="s">
        <v>58</v>
      </c>
      <c r="N8" s="37" t="s">
        <v>59</v>
      </c>
      <c r="O8" s="38" t="s">
        <v>59</v>
      </c>
      <c r="P8" s="39" t="s">
        <v>56</v>
      </c>
      <c r="Q8" s="37" t="s">
        <v>62</v>
      </c>
      <c r="R8" s="37" t="s">
        <v>58</v>
      </c>
      <c r="S8" s="37" t="s">
        <v>62</v>
      </c>
      <c r="T8" s="37" t="s">
        <v>58</v>
      </c>
      <c r="U8" s="37" t="s">
        <v>59</v>
      </c>
      <c r="V8" s="38" t="s">
        <v>59</v>
      </c>
      <c r="W8" s="39" t="s">
        <v>56</v>
      </c>
      <c r="X8" s="37" t="s">
        <v>62</v>
      </c>
      <c r="Y8" s="37" t="s">
        <v>58</v>
      </c>
      <c r="Z8" s="37" t="s">
        <v>62</v>
      </c>
      <c r="AA8" s="37" t="s">
        <v>58</v>
      </c>
      <c r="AB8" s="37" t="s">
        <v>59</v>
      </c>
      <c r="AC8" s="38" t="s">
        <v>59</v>
      </c>
      <c r="AD8" s="39" t="s">
        <v>56</v>
      </c>
      <c r="AE8" s="37" t="s">
        <v>62</v>
      </c>
      <c r="AF8" s="37" t="s">
        <v>58</v>
      </c>
      <c r="AG8" s="37" t="s">
        <v>62</v>
      </c>
      <c r="AH8" s="37" t="s">
        <v>58</v>
      </c>
      <c r="AI8" s="37" t="s">
        <v>59</v>
      </c>
      <c r="AJ8" s="37">
        <f t="shared" si="0"/>
        <v>27</v>
      </c>
      <c r="AK8" s="37">
        <f t="shared" si="1"/>
        <v>4</v>
      </c>
    </row>
    <row r="9" spans="1:37" x14ac:dyDescent="0.4">
      <c r="A9" s="33">
        <v>4</v>
      </c>
      <c r="B9" s="34" t="s">
        <v>64</v>
      </c>
      <c r="C9" s="35" t="s">
        <v>54</v>
      </c>
      <c r="D9" s="35" t="s">
        <v>66</v>
      </c>
      <c r="E9" s="37"/>
      <c r="F9" s="37" t="s">
        <v>70</v>
      </c>
      <c r="G9" s="37" t="s">
        <v>71</v>
      </c>
      <c r="H9" s="38"/>
      <c r="I9" s="39" t="s">
        <v>56</v>
      </c>
      <c r="J9" s="37" t="s">
        <v>67</v>
      </c>
      <c r="K9" s="37" t="s">
        <v>68</v>
      </c>
      <c r="L9" s="37"/>
      <c r="M9" s="37" t="s">
        <v>70</v>
      </c>
      <c r="N9" s="37" t="s">
        <v>71</v>
      </c>
      <c r="O9" s="38"/>
      <c r="P9" s="39" t="s">
        <v>56</v>
      </c>
      <c r="Q9" s="37" t="s">
        <v>67</v>
      </c>
      <c r="R9" s="37" t="s">
        <v>68</v>
      </c>
      <c r="S9" s="37"/>
      <c r="T9" s="37" t="s">
        <v>70</v>
      </c>
      <c r="U9" s="37" t="s">
        <v>71</v>
      </c>
      <c r="V9" s="38"/>
      <c r="W9" s="39" t="s">
        <v>56</v>
      </c>
      <c r="X9" s="37" t="s">
        <v>67</v>
      </c>
      <c r="Y9" s="37" t="s">
        <v>68</v>
      </c>
      <c r="Z9" s="37"/>
      <c r="AA9" s="37" t="s">
        <v>70</v>
      </c>
      <c r="AB9" s="37" t="s">
        <v>71</v>
      </c>
      <c r="AC9" s="38"/>
      <c r="AD9" s="39" t="s">
        <v>56</v>
      </c>
      <c r="AE9" s="37" t="s">
        <v>67</v>
      </c>
      <c r="AF9" s="37" t="s">
        <v>68</v>
      </c>
      <c r="AG9" s="37"/>
      <c r="AH9" s="37" t="s">
        <v>70</v>
      </c>
      <c r="AI9" s="37" t="s">
        <v>71</v>
      </c>
      <c r="AJ9" s="37">
        <f t="shared" si="0"/>
        <v>18</v>
      </c>
      <c r="AK9" s="37">
        <f t="shared" si="1"/>
        <v>4</v>
      </c>
    </row>
    <row r="10" spans="1:37" x14ac:dyDescent="0.4">
      <c r="A10" s="33">
        <v>5</v>
      </c>
      <c r="B10" s="34" t="s">
        <v>72</v>
      </c>
      <c r="C10" s="35" t="s">
        <v>54</v>
      </c>
      <c r="D10" s="35" t="s">
        <v>66</v>
      </c>
      <c r="E10" s="37"/>
      <c r="F10" s="37"/>
      <c r="G10" s="37" t="s">
        <v>74</v>
      </c>
      <c r="H10" s="38" t="s">
        <v>71</v>
      </c>
      <c r="I10" s="39" t="s">
        <v>56</v>
      </c>
      <c r="J10" s="37" t="s">
        <v>71</v>
      </c>
      <c r="K10" s="37" t="s">
        <v>70</v>
      </c>
      <c r="L10" s="37"/>
      <c r="M10" s="37"/>
      <c r="N10" s="37" t="s">
        <v>74</v>
      </c>
      <c r="O10" s="38" t="s">
        <v>71</v>
      </c>
      <c r="P10" s="39" t="s">
        <v>56</v>
      </c>
      <c r="Q10" s="37" t="s">
        <v>71</v>
      </c>
      <c r="R10" s="37" t="s">
        <v>70</v>
      </c>
      <c r="S10" s="37"/>
      <c r="T10" s="37"/>
      <c r="U10" s="37" t="s">
        <v>74</v>
      </c>
      <c r="V10" s="38" t="s">
        <v>71</v>
      </c>
      <c r="W10" s="39" t="s">
        <v>56</v>
      </c>
      <c r="X10" s="37" t="s">
        <v>71</v>
      </c>
      <c r="Y10" s="37" t="s">
        <v>70</v>
      </c>
      <c r="Z10" s="37"/>
      <c r="AA10" s="37"/>
      <c r="AB10" s="37" t="s">
        <v>74</v>
      </c>
      <c r="AC10" s="38" t="s">
        <v>71</v>
      </c>
      <c r="AD10" s="39" t="s">
        <v>56</v>
      </c>
      <c r="AE10" s="37" t="s">
        <v>71</v>
      </c>
      <c r="AF10" s="37" t="s">
        <v>70</v>
      </c>
      <c r="AG10" s="37"/>
      <c r="AH10" s="37"/>
      <c r="AI10" s="37" t="s">
        <v>74</v>
      </c>
      <c r="AJ10" s="37">
        <f t="shared" si="0"/>
        <v>17</v>
      </c>
      <c r="AK10" s="37">
        <f t="shared" si="1"/>
        <v>4</v>
      </c>
    </row>
    <row r="11" spans="1:37" x14ac:dyDescent="0.4">
      <c r="A11" s="33">
        <v>6</v>
      </c>
      <c r="B11" s="34" t="s">
        <v>75</v>
      </c>
      <c r="C11" s="35" t="s">
        <v>54</v>
      </c>
      <c r="D11" s="35" t="s">
        <v>66</v>
      </c>
      <c r="E11" s="37" t="s">
        <v>71</v>
      </c>
      <c r="F11" s="37"/>
      <c r="G11" s="37"/>
      <c r="H11" s="38"/>
      <c r="I11" s="39" t="s">
        <v>56</v>
      </c>
      <c r="J11" s="37" t="s">
        <v>71</v>
      </c>
      <c r="K11" s="37" t="s">
        <v>67</v>
      </c>
      <c r="L11" s="37" t="s">
        <v>71</v>
      </c>
      <c r="M11" s="37"/>
      <c r="N11" s="37"/>
      <c r="O11" s="38"/>
      <c r="P11" s="39" t="s">
        <v>56</v>
      </c>
      <c r="Q11" s="37" t="s">
        <v>71</v>
      </c>
      <c r="R11" s="37" t="s">
        <v>67</v>
      </c>
      <c r="S11" s="37" t="s">
        <v>71</v>
      </c>
      <c r="T11" s="37"/>
      <c r="U11" s="37"/>
      <c r="V11" s="38"/>
      <c r="W11" s="39" t="s">
        <v>56</v>
      </c>
      <c r="X11" s="37" t="s">
        <v>71</v>
      </c>
      <c r="Y11" s="37" t="s">
        <v>67</v>
      </c>
      <c r="Z11" s="37" t="s">
        <v>71</v>
      </c>
      <c r="AA11" s="37"/>
      <c r="AB11" s="37"/>
      <c r="AC11" s="38"/>
      <c r="AD11" s="39" t="s">
        <v>56</v>
      </c>
      <c r="AE11" s="37" t="s">
        <v>71</v>
      </c>
      <c r="AF11" s="37" t="s">
        <v>67</v>
      </c>
      <c r="AG11" s="37" t="s">
        <v>71</v>
      </c>
      <c r="AH11" s="37"/>
      <c r="AI11" s="37"/>
      <c r="AJ11" s="37">
        <f t="shared" si="0"/>
        <v>13</v>
      </c>
      <c r="AK11" s="37">
        <f t="shared" si="1"/>
        <v>4</v>
      </c>
    </row>
    <row r="12" spans="1:37" x14ac:dyDescent="0.4">
      <c r="A12" s="33">
        <v>7</v>
      </c>
      <c r="B12" s="34" t="s">
        <v>77</v>
      </c>
      <c r="C12" s="35" t="s">
        <v>54</v>
      </c>
      <c r="D12" s="35" t="s">
        <v>66</v>
      </c>
      <c r="E12" s="37" t="s">
        <v>67</v>
      </c>
      <c r="F12" s="37" t="s">
        <v>70</v>
      </c>
      <c r="G12" s="37"/>
      <c r="H12" s="38" t="s">
        <v>68</v>
      </c>
      <c r="I12" s="39" t="s">
        <v>56</v>
      </c>
      <c r="J12" s="37" t="s">
        <v>71</v>
      </c>
      <c r="K12" s="37"/>
      <c r="L12" s="37" t="s">
        <v>67</v>
      </c>
      <c r="M12" s="37" t="s">
        <v>70</v>
      </c>
      <c r="N12" s="37"/>
      <c r="O12" s="38" t="s">
        <v>68</v>
      </c>
      <c r="P12" s="39" t="s">
        <v>56</v>
      </c>
      <c r="Q12" s="37" t="s">
        <v>71</v>
      </c>
      <c r="R12" s="37"/>
      <c r="S12" s="37" t="s">
        <v>67</v>
      </c>
      <c r="T12" s="37" t="s">
        <v>70</v>
      </c>
      <c r="U12" s="37"/>
      <c r="V12" s="38" t="s">
        <v>68</v>
      </c>
      <c r="W12" s="39" t="s">
        <v>56</v>
      </c>
      <c r="X12" s="37" t="s">
        <v>71</v>
      </c>
      <c r="Y12" s="37"/>
      <c r="Z12" s="37" t="s">
        <v>67</v>
      </c>
      <c r="AA12" s="37" t="s">
        <v>70</v>
      </c>
      <c r="AB12" s="37"/>
      <c r="AC12" s="38" t="s">
        <v>68</v>
      </c>
      <c r="AD12" s="39" t="s">
        <v>56</v>
      </c>
      <c r="AE12" s="37" t="s">
        <v>71</v>
      </c>
      <c r="AF12" s="37"/>
      <c r="AG12" s="37" t="s">
        <v>67</v>
      </c>
      <c r="AH12" s="37" t="s">
        <v>70</v>
      </c>
      <c r="AI12" s="37"/>
      <c r="AJ12" s="37">
        <f t="shared" si="0"/>
        <v>18</v>
      </c>
      <c r="AK12" s="37">
        <f t="shared" si="1"/>
        <v>4</v>
      </c>
    </row>
    <row r="13" spans="1:37" x14ac:dyDescent="0.4">
      <c r="A13" s="33">
        <v>8</v>
      </c>
      <c r="B13" s="34" t="s">
        <v>79</v>
      </c>
      <c r="C13" s="35" t="s">
        <v>54</v>
      </c>
      <c r="D13" s="35" t="s">
        <v>66</v>
      </c>
      <c r="E13" s="37" t="s">
        <v>70</v>
      </c>
      <c r="F13" s="37" t="s">
        <v>70</v>
      </c>
      <c r="G13" s="37" t="s">
        <v>68</v>
      </c>
      <c r="H13" s="38" t="s">
        <v>68</v>
      </c>
      <c r="I13" s="39" t="s">
        <v>56</v>
      </c>
      <c r="J13" s="37" t="s">
        <v>67</v>
      </c>
      <c r="K13" s="37"/>
      <c r="L13" s="37" t="s">
        <v>70</v>
      </c>
      <c r="M13" s="37" t="s">
        <v>70</v>
      </c>
      <c r="N13" s="37" t="s">
        <v>68</v>
      </c>
      <c r="O13" s="38" t="s">
        <v>68</v>
      </c>
      <c r="P13" s="39" t="s">
        <v>56</v>
      </c>
      <c r="Q13" s="37" t="s">
        <v>67</v>
      </c>
      <c r="R13" s="37"/>
      <c r="S13" s="37" t="s">
        <v>70</v>
      </c>
      <c r="T13" s="37" t="s">
        <v>70</v>
      </c>
      <c r="U13" s="37" t="s">
        <v>68</v>
      </c>
      <c r="V13" s="38" t="s">
        <v>68</v>
      </c>
      <c r="W13" s="39" t="s">
        <v>56</v>
      </c>
      <c r="X13" s="37" t="s">
        <v>67</v>
      </c>
      <c r="Y13" s="37"/>
      <c r="Z13" s="37" t="s">
        <v>70</v>
      </c>
      <c r="AA13" s="37" t="s">
        <v>70</v>
      </c>
      <c r="AB13" s="37" t="s">
        <v>68</v>
      </c>
      <c r="AC13" s="38" t="s">
        <v>68</v>
      </c>
      <c r="AD13" s="39" t="s">
        <v>56</v>
      </c>
      <c r="AE13" s="37" t="s">
        <v>67</v>
      </c>
      <c r="AF13" s="37"/>
      <c r="AG13" s="37" t="s">
        <v>70</v>
      </c>
      <c r="AH13" s="37" t="s">
        <v>70</v>
      </c>
      <c r="AI13" s="37" t="s">
        <v>68</v>
      </c>
      <c r="AJ13" s="37">
        <f t="shared" si="0"/>
        <v>23</v>
      </c>
      <c r="AK13" s="37">
        <f t="shared" si="1"/>
        <v>4</v>
      </c>
    </row>
    <row r="14" spans="1:37" x14ac:dyDescent="0.4">
      <c r="A14" s="33">
        <v>9</v>
      </c>
      <c r="B14" s="34" t="s">
        <v>81</v>
      </c>
      <c r="C14" s="35" t="s">
        <v>54</v>
      </c>
      <c r="D14" s="35" t="s">
        <v>66</v>
      </c>
      <c r="E14" s="37"/>
      <c r="F14" s="37"/>
      <c r="G14" s="37" t="s">
        <v>74</v>
      </c>
      <c r="H14" s="38"/>
      <c r="I14" s="39" t="s">
        <v>56</v>
      </c>
      <c r="J14" s="37"/>
      <c r="K14" s="37"/>
      <c r="L14" s="37"/>
      <c r="M14" s="37"/>
      <c r="N14" s="37" t="s">
        <v>74</v>
      </c>
      <c r="O14" s="38"/>
      <c r="P14" s="39" t="s">
        <v>56</v>
      </c>
      <c r="Q14" s="37"/>
      <c r="R14" s="37"/>
      <c r="S14" s="37"/>
      <c r="T14" s="37"/>
      <c r="U14" s="37" t="s">
        <v>74</v>
      </c>
      <c r="V14" s="38"/>
      <c r="W14" s="39" t="s">
        <v>56</v>
      </c>
      <c r="X14" s="37"/>
      <c r="Y14" s="37"/>
      <c r="Z14" s="37"/>
      <c r="AA14" s="37"/>
      <c r="AB14" s="37" t="s">
        <v>74</v>
      </c>
      <c r="AC14" s="38"/>
      <c r="AD14" s="39" t="s">
        <v>56</v>
      </c>
      <c r="AE14" s="37"/>
      <c r="AF14" s="37"/>
      <c r="AG14" s="37"/>
      <c r="AH14" s="37"/>
      <c r="AI14" s="37" t="s">
        <v>74</v>
      </c>
      <c r="AJ14" s="37">
        <f t="shared" si="0"/>
        <v>5</v>
      </c>
      <c r="AK14" s="37">
        <f t="shared" si="1"/>
        <v>4</v>
      </c>
    </row>
    <row r="15" spans="1:37" x14ac:dyDescent="0.4">
      <c r="A15" s="40" t="s">
        <v>120</v>
      </c>
      <c r="B15" s="41"/>
      <c r="C15" s="41"/>
      <c r="D15" s="41"/>
      <c r="E15" s="41">
        <f t="shared" ref="E15:AI15" si="2">COUNTA(E6:E14)-COUNTIF(E6:E14,"X")-COUNTIF(E6:E14,"P")</f>
        <v>6</v>
      </c>
      <c r="F15" s="41">
        <f t="shared" si="2"/>
        <v>6</v>
      </c>
      <c r="G15" s="41">
        <f t="shared" si="2"/>
        <v>7</v>
      </c>
      <c r="H15" s="41">
        <f t="shared" si="2"/>
        <v>6</v>
      </c>
      <c r="I15" s="41">
        <f t="shared" si="2"/>
        <v>0</v>
      </c>
      <c r="J15" s="41">
        <f t="shared" si="2"/>
        <v>8</v>
      </c>
      <c r="K15" s="41">
        <f t="shared" si="2"/>
        <v>6</v>
      </c>
      <c r="L15" s="41">
        <f t="shared" si="2"/>
        <v>6</v>
      </c>
      <c r="M15" s="41">
        <f t="shared" si="2"/>
        <v>6</v>
      </c>
      <c r="N15" s="41">
        <f t="shared" si="2"/>
        <v>7</v>
      </c>
      <c r="O15" s="41">
        <f t="shared" si="2"/>
        <v>6</v>
      </c>
      <c r="P15" s="41">
        <f t="shared" si="2"/>
        <v>0</v>
      </c>
      <c r="Q15" s="41">
        <f t="shared" si="2"/>
        <v>8</v>
      </c>
      <c r="R15" s="41">
        <f t="shared" si="2"/>
        <v>6</v>
      </c>
      <c r="S15" s="41">
        <f t="shared" si="2"/>
        <v>6</v>
      </c>
      <c r="T15" s="41">
        <f t="shared" si="2"/>
        <v>6</v>
      </c>
      <c r="U15" s="41">
        <f t="shared" si="2"/>
        <v>7</v>
      </c>
      <c r="V15" s="41">
        <f t="shared" si="2"/>
        <v>6</v>
      </c>
      <c r="W15" s="41">
        <f t="shared" si="2"/>
        <v>0</v>
      </c>
      <c r="X15" s="41">
        <f t="shared" si="2"/>
        <v>8</v>
      </c>
      <c r="Y15" s="41">
        <f t="shared" si="2"/>
        <v>6</v>
      </c>
      <c r="Z15" s="41">
        <f t="shared" si="2"/>
        <v>6</v>
      </c>
      <c r="AA15" s="41">
        <f t="shared" si="2"/>
        <v>6</v>
      </c>
      <c r="AB15" s="41">
        <f t="shared" si="2"/>
        <v>7</v>
      </c>
      <c r="AC15" s="41">
        <f t="shared" si="2"/>
        <v>6</v>
      </c>
      <c r="AD15" s="41">
        <f t="shared" si="2"/>
        <v>0</v>
      </c>
      <c r="AE15" s="41">
        <f t="shared" si="2"/>
        <v>8</v>
      </c>
      <c r="AF15" s="41">
        <f t="shared" si="2"/>
        <v>6</v>
      </c>
      <c r="AG15" s="41">
        <f t="shared" si="2"/>
        <v>6</v>
      </c>
      <c r="AH15" s="41">
        <f t="shared" si="2"/>
        <v>6</v>
      </c>
      <c r="AI15" s="41">
        <f t="shared" si="2"/>
        <v>7</v>
      </c>
      <c r="AJ15" s="41">
        <f>SUM(AJ6:AJ14)</f>
        <v>175</v>
      </c>
      <c r="AK15" s="41">
        <f>SUM(AK6:AK14)</f>
        <v>36</v>
      </c>
    </row>
    <row r="17" spans="1:37" x14ac:dyDescent="0.4">
      <c r="A17" s="42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</row>
    <row r="18" spans="1:37" x14ac:dyDescent="0.4">
      <c r="A18" s="44">
        <v>10</v>
      </c>
      <c r="B18" s="45" t="s">
        <v>53</v>
      </c>
      <c r="C18" s="46" t="s">
        <v>82</v>
      </c>
      <c r="D18" s="46" t="s">
        <v>55</v>
      </c>
      <c r="E18" s="37" t="s">
        <v>58</v>
      </c>
      <c r="F18" s="37" t="s">
        <v>83</v>
      </c>
      <c r="G18" s="37" t="s">
        <v>59</v>
      </c>
      <c r="H18" s="38" t="s">
        <v>83</v>
      </c>
      <c r="I18" s="39" t="s">
        <v>56</v>
      </c>
      <c r="J18" s="37" t="s">
        <v>58</v>
      </c>
      <c r="K18" s="37" t="s">
        <v>83</v>
      </c>
      <c r="L18" s="37" t="s">
        <v>58</v>
      </c>
      <c r="M18" s="37" t="s">
        <v>83</v>
      </c>
      <c r="N18" s="37" t="s">
        <v>59</v>
      </c>
      <c r="O18" s="38" t="s">
        <v>83</v>
      </c>
      <c r="P18" s="39" t="s">
        <v>56</v>
      </c>
      <c r="Q18" s="37" t="s">
        <v>58</v>
      </c>
      <c r="R18" s="37" t="s">
        <v>83</v>
      </c>
      <c r="S18" s="37" t="s">
        <v>58</v>
      </c>
      <c r="T18" s="37" t="s">
        <v>83</v>
      </c>
      <c r="U18" s="37" t="s">
        <v>59</v>
      </c>
      <c r="V18" s="38" t="s">
        <v>83</v>
      </c>
      <c r="W18" s="39" t="s">
        <v>56</v>
      </c>
      <c r="X18" s="37" t="s">
        <v>58</v>
      </c>
      <c r="Y18" s="37" t="s">
        <v>83</v>
      </c>
      <c r="Z18" s="37" t="s">
        <v>58</v>
      </c>
      <c r="AA18" s="37" t="s">
        <v>83</v>
      </c>
      <c r="AB18" s="37" t="s">
        <v>59</v>
      </c>
      <c r="AC18" s="38" t="s">
        <v>83</v>
      </c>
      <c r="AD18" s="39" t="s">
        <v>56</v>
      </c>
      <c r="AE18" s="37" t="s">
        <v>58</v>
      </c>
      <c r="AF18" s="37" t="s">
        <v>83</v>
      </c>
      <c r="AG18" s="37" t="s">
        <v>58</v>
      </c>
      <c r="AH18" s="37" t="s">
        <v>83</v>
      </c>
      <c r="AI18" s="37" t="s">
        <v>59</v>
      </c>
      <c r="AJ18" s="37">
        <f t="shared" ref="AJ18:AJ24" si="3">COUNTA(E18:AI18)-COUNTIF(E18:AI18,"X")-COUNTIF(E18:AI18,"P")</f>
        <v>27</v>
      </c>
      <c r="AK18" s="37">
        <f t="shared" ref="AK18:AK24" si="4">COUNTIF(E18:AI18,"X")+COUNTIF(E18:AI18,"P")</f>
        <v>4</v>
      </c>
    </row>
    <row r="19" spans="1:37" x14ac:dyDescent="0.4">
      <c r="A19" s="44">
        <v>11</v>
      </c>
      <c r="B19" s="45" t="s">
        <v>84</v>
      </c>
      <c r="C19" s="46" t="s">
        <v>82</v>
      </c>
      <c r="D19" s="46" t="s">
        <v>61</v>
      </c>
      <c r="E19" s="37" t="s">
        <v>62</v>
      </c>
      <c r="F19" s="37" t="s">
        <v>58</v>
      </c>
      <c r="G19" s="37" t="s">
        <v>59</v>
      </c>
      <c r="H19" s="38" t="s">
        <v>59</v>
      </c>
      <c r="I19" s="39" t="s">
        <v>56</v>
      </c>
      <c r="J19" s="37" t="s">
        <v>62</v>
      </c>
      <c r="K19" s="37" t="s">
        <v>58</v>
      </c>
      <c r="L19" s="37" t="s">
        <v>62</v>
      </c>
      <c r="M19" s="37" t="s">
        <v>58</v>
      </c>
      <c r="N19" s="37" t="s">
        <v>59</v>
      </c>
      <c r="O19" s="38" t="s">
        <v>59</v>
      </c>
      <c r="P19" s="39" t="s">
        <v>56</v>
      </c>
      <c r="Q19" s="37" t="s">
        <v>62</v>
      </c>
      <c r="R19" s="37" t="s">
        <v>58</v>
      </c>
      <c r="S19" s="37" t="s">
        <v>62</v>
      </c>
      <c r="T19" s="37" t="s">
        <v>58</v>
      </c>
      <c r="U19" s="37" t="s">
        <v>59</v>
      </c>
      <c r="V19" s="38" t="s">
        <v>59</v>
      </c>
      <c r="W19" s="39" t="s">
        <v>56</v>
      </c>
      <c r="X19" s="37" t="s">
        <v>62</v>
      </c>
      <c r="Y19" s="37" t="s">
        <v>58</v>
      </c>
      <c r="Z19" s="37" t="s">
        <v>62</v>
      </c>
      <c r="AA19" s="37" t="s">
        <v>58</v>
      </c>
      <c r="AB19" s="37" t="s">
        <v>59</v>
      </c>
      <c r="AC19" s="38" t="s">
        <v>59</v>
      </c>
      <c r="AD19" s="39" t="s">
        <v>56</v>
      </c>
      <c r="AE19" s="37" t="s">
        <v>62</v>
      </c>
      <c r="AF19" s="37" t="s">
        <v>58</v>
      </c>
      <c r="AG19" s="37" t="s">
        <v>62</v>
      </c>
      <c r="AH19" s="37" t="s">
        <v>58</v>
      </c>
      <c r="AI19" s="37" t="s">
        <v>59</v>
      </c>
      <c r="AJ19" s="37">
        <f t="shared" si="3"/>
        <v>27</v>
      </c>
      <c r="AK19" s="37">
        <f t="shared" si="4"/>
        <v>4</v>
      </c>
    </row>
    <row r="20" spans="1:37" x14ac:dyDescent="0.4">
      <c r="A20" s="44">
        <v>12</v>
      </c>
      <c r="B20" s="45" t="s">
        <v>85</v>
      </c>
      <c r="C20" s="46" t="s">
        <v>82</v>
      </c>
      <c r="D20" s="46" t="s">
        <v>61</v>
      </c>
      <c r="E20" s="37" t="s">
        <v>86</v>
      </c>
      <c r="F20" s="37" t="s">
        <v>86</v>
      </c>
      <c r="G20" s="37" t="s">
        <v>86</v>
      </c>
      <c r="H20" s="39" t="s">
        <v>56</v>
      </c>
      <c r="I20" s="39" t="s">
        <v>56</v>
      </c>
      <c r="J20" s="37" t="s">
        <v>86</v>
      </c>
      <c r="K20" s="37" t="s">
        <v>86</v>
      </c>
      <c r="L20" s="37" t="s">
        <v>86</v>
      </c>
      <c r="M20" s="37" t="s">
        <v>86</v>
      </c>
      <c r="N20" s="37" t="s">
        <v>86</v>
      </c>
      <c r="O20" s="39" t="s">
        <v>56</v>
      </c>
      <c r="P20" s="39" t="s">
        <v>56</v>
      </c>
      <c r="Q20" s="37" t="s">
        <v>86</v>
      </c>
      <c r="R20" s="37" t="s">
        <v>86</v>
      </c>
      <c r="S20" s="37" t="s">
        <v>86</v>
      </c>
      <c r="T20" s="37" t="s">
        <v>86</v>
      </c>
      <c r="U20" s="37" t="s">
        <v>86</v>
      </c>
      <c r="V20" s="39" t="s">
        <v>56</v>
      </c>
      <c r="W20" s="39" t="s">
        <v>56</v>
      </c>
      <c r="X20" s="37" t="s">
        <v>86</v>
      </c>
      <c r="Y20" s="37" t="s">
        <v>86</v>
      </c>
      <c r="Z20" s="37" t="s">
        <v>86</v>
      </c>
      <c r="AA20" s="37" t="s">
        <v>86</v>
      </c>
      <c r="AB20" s="37" t="s">
        <v>86</v>
      </c>
      <c r="AC20" s="39" t="s">
        <v>56</v>
      </c>
      <c r="AD20" s="39" t="s">
        <v>56</v>
      </c>
      <c r="AE20" s="37" t="s">
        <v>86</v>
      </c>
      <c r="AF20" s="37" t="s">
        <v>86</v>
      </c>
      <c r="AG20" s="37" t="s">
        <v>86</v>
      </c>
      <c r="AH20" s="37" t="s">
        <v>86</v>
      </c>
      <c r="AI20" s="37" t="s">
        <v>86</v>
      </c>
      <c r="AJ20" s="37">
        <f t="shared" si="3"/>
        <v>23</v>
      </c>
      <c r="AK20" s="37">
        <f t="shared" si="4"/>
        <v>8</v>
      </c>
    </row>
    <row r="21" spans="1:37" x14ac:dyDescent="0.4">
      <c r="A21" s="44">
        <v>13</v>
      </c>
      <c r="B21" s="45" t="s">
        <v>87</v>
      </c>
      <c r="C21" s="46" t="s">
        <v>82</v>
      </c>
      <c r="D21" s="46" t="s">
        <v>66</v>
      </c>
      <c r="E21" s="37"/>
      <c r="F21" s="37" t="s">
        <v>70</v>
      </c>
      <c r="G21" s="37" t="s">
        <v>74</v>
      </c>
      <c r="H21" s="38"/>
      <c r="I21" s="39" t="s">
        <v>56</v>
      </c>
      <c r="J21" s="37" t="s">
        <v>67</v>
      </c>
      <c r="K21" s="37" t="s">
        <v>89</v>
      </c>
      <c r="L21" s="37"/>
      <c r="M21" s="37" t="s">
        <v>70</v>
      </c>
      <c r="N21" s="37" t="s">
        <v>74</v>
      </c>
      <c r="O21" s="38"/>
      <c r="P21" s="39" t="s">
        <v>56</v>
      </c>
      <c r="Q21" s="37" t="s">
        <v>67</v>
      </c>
      <c r="R21" s="37" t="s">
        <v>89</v>
      </c>
      <c r="S21" s="37"/>
      <c r="T21" s="37" t="s">
        <v>70</v>
      </c>
      <c r="U21" s="37" t="s">
        <v>74</v>
      </c>
      <c r="V21" s="38"/>
      <c r="W21" s="39" t="s">
        <v>56</v>
      </c>
      <c r="X21" s="37" t="s">
        <v>67</v>
      </c>
      <c r="Y21" s="37" t="s">
        <v>89</v>
      </c>
      <c r="Z21" s="37"/>
      <c r="AA21" s="37" t="s">
        <v>70</v>
      </c>
      <c r="AB21" s="37" t="s">
        <v>74</v>
      </c>
      <c r="AC21" s="38"/>
      <c r="AD21" s="39" t="s">
        <v>56</v>
      </c>
      <c r="AE21" s="37" t="s">
        <v>67</v>
      </c>
      <c r="AF21" s="37" t="s">
        <v>89</v>
      </c>
      <c r="AG21" s="37"/>
      <c r="AH21" s="37" t="s">
        <v>70</v>
      </c>
      <c r="AI21" s="37" t="s">
        <v>74</v>
      </c>
      <c r="AJ21" s="37">
        <f t="shared" si="3"/>
        <v>18</v>
      </c>
      <c r="AK21" s="37">
        <f t="shared" si="4"/>
        <v>4</v>
      </c>
    </row>
    <row r="22" spans="1:37" x14ac:dyDescent="0.4">
      <c r="A22" s="44">
        <v>14</v>
      </c>
      <c r="B22" s="45" t="s">
        <v>90</v>
      </c>
      <c r="C22" s="46" t="s">
        <v>82</v>
      </c>
      <c r="D22" s="46" t="s">
        <v>66</v>
      </c>
      <c r="E22" s="37"/>
      <c r="F22" s="37" t="s">
        <v>71</v>
      </c>
      <c r="G22" s="37" t="s">
        <v>74</v>
      </c>
      <c r="H22" s="38"/>
      <c r="I22" s="39" t="s">
        <v>56</v>
      </c>
      <c r="J22" s="37" t="s">
        <v>68</v>
      </c>
      <c r="K22" s="37" t="s">
        <v>89</v>
      </c>
      <c r="L22" s="37"/>
      <c r="M22" s="37" t="s">
        <v>71</v>
      </c>
      <c r="N22" s="37" t="s">
        <v>74</v>
      </c>
      <c r="O22" s="38"/>
      <c r="P22" s="39" t="s">
        <v>56</v>
      </c>
      <c r="Q22" s="37" t="s">
        <v>68</v>
      </c>
      <c r="R22" s="37" t="s">
        <v>89</v>
      </c>
      <c r="S22" s="37"/>
      <c r="T22" s="37" t="s">
        <v>71</v>
      </c>
      <c r="U22" s="37" t="s">
        <v>74</v>
      </c>
      <c r="V22" s="38"/>
      <c r="W22" s="39" t="s">
        <v>56</v>
      </c>
      <c r="X22" s="37" t="s">
        <v>68</v>
      </c>
      <c r="Y22" s="37" t="s">
        <v>89</v>
      </c>
      <c r="Z22" s="37"/>
      <c r="AA22" s="37" t="s">
        <v>71</v>
      </c>
      <c r="AB22" s="37" t="s">
        <v>74</v>
      </c>
      <c r="AC22" s="38"/>
      <c r="AD22" s="39" t="s">
        <v>56</v>
      </c>
      <c r="AE22" s="37" t="s">
        <v>68</v>
      </c>
      <c r="AF22" s="37" t="s">
        <v>89</v>
      </c>
      <c r="AG22" s="37"/>
      <c r="AH22" s="37" t="s">
        <v>71</v>
      </c>
      <c r="AI22" s="37" t="s">
        <v>74</v>
      </c>
      <c r="AJ22" s="37">
        <f t="shared" si="3"/>
        <v>18</v>
      </c>
      <c r="AK22" s="37">
        <f t="shared" si="4"/>
        <v>4</v>
      </c>
    </row>
    <row r="23" spans="1:37" x14ac:dyDescent="0.4">
      <c r="A23" s="44">
        <v>15</v>
      </c>
      <c r="B23" s="45" t="s">
        <v>92</v>
      </c>
      <c r="C23" s="46" t="s">
        <v>82</v>
      </c>
      <c r="D23" s="46" t="s">
        <v>66</v>
      </c>
      <c r="E23" s="37" t="s">
        <v>67</v>
      </c>
      <c r="F23" s="37" t="s">
        <v>74</v>
      </c>
      <c r="G23" s="37" t="s">
        <v>71</v>
      </c>
      <c r="H23" s="38" t="s">
        <v>68</v>
      </c>
      <c r="I23" s="39" t="s">
        <v>56</v>
      </c>
      <c r="J23" s="37" t="s">
        <v>67</v>
      </c>
      <c r="K23" s="37" t="s">
        <v>70</v>
      </c>
      <c r="L23" s="37" t="s">
        <v>67</v>
      </c>
      <c r="M23" s="37" t="s">
        <v>74</v>
      </c>
      <c r="N23" s="37" t="s">
        <v>71</v>
      </c>
      <c r="O23" s="38" t="s">
        <v>68</v>
      </c>
      <c r="P23" s="39" t="s">
        <v>56</v>
      </c>
      <c r="Q23" s="37" t="s">
        <v>67</v>
      </c>
      <c r="R23" s="37" t="s">
        <v>70</v>
      </c>
      <c r="S23" s="37" t="s">
        <v>67</v>
      </c>
      <c r="T23" s="37" t="s">
        <v>74</v>
      </c>
      <c r="U23" s="37" t="s">
        <v>71</v>
      </c>
      <c r="V23" s="38" t="s">
        <v>68</v>
      </c>
      <c r="W23" s="39" t="s">
        <v>56</v>
      </c>
      <c r="X23" s="37" t="s">
        <v>67</v>
      </c>
      <c r="Y23" s="37" t="s">
        <v>70</v>
      </c>
      <c r="Z23" s="37" t="s">
        <v>67</v>
      </c>
      <c r="AA23" s="37" t="s">
        <v>74</v>
      </c>
      <c r="AB23" s="37" t="s">
        <v>71</v>
      </c>
      <c r="AC23" s="38" t="s">
        <v>68</v>
      </c>
      <c r="AD23" s="39" t="s">
        <v>56</v>
      </c>
      <c r="AE23" s="37" t="s">
        <v>67</v>
      </c>
      <c r="AF23" s="37" t="s">
        <v>70</v>
      </c>
      <c r="AG23" s="37" t="s">
        <v>67</v>
      </c>
      <c r="AH23" s="37" t="s">
        <v>74</v>
      </c>
      <c r="AI23" s="37" t="s">
        <v>71</v>
      </c>
      <c r="AJ23" s="37">
        <f t="shared" si="3"/>
        <v>27</v>
      </c>
      <c r="AK23" s="37">
        <f t="shared" si="4"/>
        <v>4</v>
      </c>
    </row>
    <row r="24" spans="1:37" x14ac:dyDescent="0.4">
      <c r="A24" s="44">
        <v>16</v>
      </c>
      <c r="B24" s="45" t="s">
        <v>94</v>
      </c>
      <c r="C24" s="46" t="s">
        <v>82</v>
      </c>
      <c r="D24" s="46" t="s">
        <v>66</v>
      </c>
      <c r="E24" s="37" t="s">
        <v>67</v>
      </c>
      <c r="F24" s="37" t="s">
        <v>70</v>
      </c>
      <c r="G24" s="37"/>
      <c r="H24" s="38" t="s">
        <v>68</v>
      </c>
      <c r="I24" s="39" t="s">
        <v>56</v>
      </c>
      <c r="J24" s="37" t="s">
        <v>71</v>
      </c>
      <c r="K24" s="37"/>
      <c r="L24" s="37" t="s">
        <v>67</v>
      </c>
      <c r="M24" s="37" t="s">
        <v>70</v>
      </c>
      <c r="N24" s="37"/>
      <c r="O24" s="38" t="s">
        <v>68</v>
      </c>
      <c r="P24" s="39" t="s">
        <v>56</v>
      </c>
      <c r="Q24" s="37" t="s">
        <v>71</v>
      </c>
      <c r="R24" s="37"/>
      <c r="S24" s="37" t="s">
        <v>67</v>
      </c>
      <c r="T24" s="37" t="s">
        <v>70</v>
      </c>
      <c r="U24" s="37"/>
      <c r="V24" s="38" t="s">
        <v>68</v>
      </c>
      <c r="W24" s="39" t="s">
        <v>56</v>
      </c>
      <c r="X24" s="37" t="s">
        <v>71</v>
      </c>
      <c r="Y24" s="37"/>
      <c r="Z24" s="37" t="s">
        <v>67</v>
      </c>
      <c r="AA24" s="37" t="s">
        <v>70</v>
      </c>
      <c r="AB24" s="37"/>
      <c r="AC24" s="38" t="s">
        <v>68</v>
      </c>
      <c r="AD24" s="39" t="s">
        <v>56</v>
      </c>
      <c r="AE24" s="37" t="s">
        <v>71</v>
      </c>
      <c r="AF24" s="37"/>
      <c r="AG24" s="37" t="s">
        <v>67</v>
      </c>
      <c r="AH24" s="37" t="s">
        <v>70</v>
      </c>
      <c r="AI24" s="37"/>
      <c r="AJ24" s="37">
        <f t="shared" si="3"/>
        <v>18</v>
      </c>
      <c r="AK24" s="37">
        <f t="shared" si="4"/>
        <v>4</v>
      </c>
    </row>
    <row r="25" spans="1:37" x14ac:dyDescent="0.4">
      <c r="A25" s="47" t="s">
        <v>122</v>
      </c>
      <c r="B25" s="48"/>
      <c r="C25" s="48"/>
      <c r="D25" s="48"/>
      <c r="E25" s="48">
        <f t="shared" ref="E25:AI25" si="5">COUNTA(E18:E24)-COUNTIF(E18:E24,"X")-COUNTIF(E18:E24,"P")</f>
        <v>5</v>
      </c>
      <c r="F25" s="48">
        <f t="shared" si="5"/>
        <v>7</v>
      </c>
      <c r="G25" s="48">
        <f t="shared" si="5"/>
        <v>6</v>
      </c>
      <c r="H25" s="48">
        <f t="shared" si="5"/>
        <v>4</v>
      </c>
      <c r="I25" s="48">
        <f t="shared" si="5"/>
        <v>0</v>
      </c>
      <c r="J25" s="48">
        <f t="shared" si="5"/>
        <v>7</v>
      </c>
      <c r="K25" s="48">
        <f t="shared" si="5"/>
        <v>6</v>
      </c>
      <c r="L25" s="48">
        <f t="shared" si="5"/>
        <v>5</v>
      </c>
      <c r="M25" s="48">
        <f t="shared" si="5"/>
        <v>7</v>
      </c>
      <c r="N25" s="48">
        <f t="shared" si="5"/>
        <v>6</v>
      </c>
      <c r="O25" s="48">
        <f t="shared" si="5"/>
        <v>4</v>
      </c>
      <c r="P25" s="48">
        <f t="shared" si="5"/>
        <v>0</v>
      </c>
      <c r="Q25" s="48">
        <f t="shared" si="5"/>
        <v>7</v>
      </c>
      <c r="R25" s="48">
        <f t="shared" si="5"/>
        <v>6</v>
      </c>
      <c r="S25" s="48">
        <f t="shared" si="5"/>
        <v>5</v>
      </c>
      <c r="T25" s="48">
        <f t="shared" si="5"/>
        <v>7</v>
      </c>
      <c r="U25" s="48">
        <f t="shared" si="5"/>
        <v>6</v>
      </c>
      <c r="V25" s="48">
        <f t="shared" si="5"/>
        <v>4</v>
      </c>
      <c r="W25" s="48">
        <f t="shared" si="5"/>
        <v>0</v>
      </c>
      <c r="X25" s="48">
        <f t="shared" si="5"/>
        <v>7</v>
      </c>
      <c r="Y25" s="48">
        <f t="shared" si="5"/>
        <v>6</v>
      </c>
      <c r="Z25" s="48">
        <f t="shared" si="5"/>
        <v>5</v>
      </c>
      <c r="AA25" s="48">
        <f t="shared" si="5"/>
        <v>7</v>
      </c>
      <c r="AB25" s="48">
        <f t="shared" si="5"/>
        <v>6</v>
      </c>
      <c r="AC25" s="48">
        <f t="shared" si="5"/>
        <v>4</v>
      </c>
      <c r="AD25" s="48">
        <f t="shared" si="5"/>
        <v>0</v>
      </c>
      <c r="AE25" s="48">
        <f t="shared" si="5"/>
        <v>7</v>
      </c>
      <c r="AF25" s="48">
        <f t="shared" si="5"/>
        <v>6</v>
      </c>
      <c r="AG25" s="48">
        <f t="shared" si="5"/>
        <v>5</v>
      </c>
      <c r="AH25" s="48">
        <f t="shared" si="5"/>
        <v>7</v>
      </c>
      <c r="AI25" s="48">
        <f t="shared" si="5"/>
        <v>6</v>
      </c>
      <c r="AJ25" s="48">
        <f>SUM(AJ18:AJ24)</f>
        <v>158</v>
      </c>
      <c r="AK25" s="48">
        <f>SUM(AK18:AK24)</f>
        <v>32</v>
      </c>
    </row>
    <row r="27" spans="1:37" x14ac:dyDescent="0.4">
      <c r="A27" s="49" t="s">
        <v>123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</row>
    <row r="28" spans="1:37" x14ac:dyDescent="0.4">
      <c r="A28" s="51">
        <v>17</v>
      </c>
      <c r="B28" s="52" t="s">
        <v>96</v>
      </c>
      <c r="C28" s="53" t="s">
        <v>97</v>
      </c>
      <c r="D28" s="53" t="s">
        <v>98</v>
      </c>
      <c r="E28" s="37" t="s">
        <v>99</v>
      </c>
      <c r="F28" s="37" t="s">
        <v>99</v>
      </c>
      <c r="G28" s="37" t="s">
        <v>99</v>
      </c>
      <c r="H28" s="38" t="s">
        <v>99</v>
      </c>
      <c r="I28" s="39" t="s">
        <v>56</v>
      </c>
      <c r="J28" s="37" t="s">
        <v>99</v>
      </c>
      <c r="K28" s="37" t="s">
        <v>99</v>
      </c>
      <c r="L28" s="37" t="s">
        <v>99</v>
      </c>
      <c r="M28" s="37" t="s">
        <v>99</v>
      </c>
      <c r="N28" s="37" t="s">
        <v>99</v>
      </c>
      <c r="O28" s="38" t="s">
        <v>99</v>
      </c>
      <c r="P28" s="39" t="s">
        <v>56</v>
      </c>
      <c r="Q28" s="37" t="s">
        <v>99</v>
      </c>
      <c r="R28" s="37" t="s">
        <v>99</v>
      </c>
      <c r="S28" s="37" t="s">
        <v>99</v>
      </c>
      <c r="T28" s="37" t="s">
        <v>99</v>
      </c>
      <c r="U28" s="37" t="s">
        <v>99</v>
      </c>
      <c r="V28" s="38" t="s">
        <v>99</v>
      </c>
      <c r="W28" s="39" t="s">
        <v>56</v>
      </c>
      <c r="X28" s="37" t="s">
        <v>99</v>
      </c>
      <c r="Y28" s="37" t="s">
        <v>99</v>
      </c>
      <c r="Z28" s="37" t="s">
        <v>99</v>
      </c>
      <c r="AA28" s="37" t="s">
        <v>99</v>
      </c>
      <c r="AB28" s="37" t="s">
        <v>99</v>
      </c>
      <c r="AC28" s="38" t="s">
        <v>99</v>
      </c>
      <c r="AD28" s="39" t="s">
        <v>56</v>
      </c>
      <c r="AE28" s="37" t="s">
        <v>99</v>
      </c>
      <c r="AF28" s="37" t="s">
        <v>99</v>
      </c>
      <c r="AG28" s="37" t="s">
        <v>99</v>
      </c>
      <c r="AH28" s="37" t="s">
        <v>99</v>
      </c>
      <c r="AI28" s="37" t="s">
        <v>99</v>
      </c>
      <c r="AJ28" s="37">
        <f>COUNTA(E28:AI28)-COUNTIF(E28:AI28,"X")-COUNTIF(E28:AI28,"P")</f>
        <v>27</v>
      </c>
      <c r="AK28" s="37">
        <f>COUNTIF(E28:AI28,"X")+COUNTIF(E28:AI28,"P")</f>
        <v>4</v>
      </c>
    </row>
    <row r="29" spans="1:37" x14ac:dyDescent="0.4">
      <c r="A29" s="51">
        <v>18</v>
      </c>
      <c r="B29" s="52" t="s">
        <v>100</v>
      </c>
      <c r="C29" s="53" t="s">
        <v>97</v>
      </c>
      <c r="D29" s="53" t="s">
        <v>101</v>
      </c>
      <c r="E29" s="37" t="s">
        <v>99</v>
      </c>
      <c r="F29" s="37" t="s">
        <v>99</v>
      </c>
      <c r="G29" s="37" t="s">
        <v>99</v>
      </c>
      <c r="H29" s="38" t="s">
        <v>99</v>
      </c>
      <c r="I29" s="39" t="s">
        <v>56</v>
      </c>
      <c r="J29" s="37" t="s">
        <v>99</v>
      </c>
      <c r="K29" s="37" t="s">
        <v>99</v>
      </c>
      <c r="L29" s="37" t="s">
        <v>99</v>
      </c>
      <c r="M29" s="37" t="s">
        <v>99</v>
      </c>
      <c r="N29" s="37" t="s">
        <v>99</v>
      </c>
      <c r="O29" s="38" t="s">
        <v>99</v>
      </c>
      <c r="P29" s="39" t="s">
        <v>56</v>
      </c>
      <c r="Q29" s="37" t="s">
        <v>99</v>
      </c>
      <c r="R29" s="37" t="s">
        <v>99</v>
      </c>
      <c r="S29" s="37" t="s">
        <v>99</v>
      </c>
      <c r="T29" s="37" t="s">
        <v>99</v>
      </c>
      <c r="U29" s="37" t="s">
        <v>99</v>
      </c>
      <c r="V29" s="38" t="s">
        <v>99</v>
      </c>
      <c r="W29" s="39" t="s">
        <v>56</v>
      </c>
      <c r="X29" s="37" t="s">
        <v>99</v>
      </c>
      <c r="Y29" s="37" t="s">
        <v>99</v>
      </c>
      <c r="Z29" s="37" t="s">
        <v>99</v>
      </c>
      <c r="AA29" s="37" t="s">
        <v>99</v>
      </c>
      <c r="AB29" s="37" t="s">
        <v>99</v>
      </c>
      <c r="AC29" s="38" t="s">
        <v>99</v>
      </c>
      <c r="AD29" s="39" t="s">
        <v>56</v>
      </c>
      <c r="AE29" s="37" t="s">
        <v>99</v>
      </c>
      <c r="AF29" s="37" t="s">
        <v>99</v>
      </c>
      <c r="AG29" s="37" t="s">
        <v>99</v>
      </c>
      <c r="AH29" s="37" t="s">
        <v>99</v>
      </c>
      <c r="AI29" s="37" t="s">
        <v>99</v>
      </c>
      <c r="AJ29" s="37">
        <f>COUNTA(E29:AI29)-COUNTIF(E29:AI29,"X")-COUNTIF(E29:AI29,"P")</f>
        <v>27</v>
      </c>
      <c r="AK29" s="37">
        <f>COUNTIF(E29:AI29,"X")+COUNTIF(E29:AI29,"P")</f>
        <v>4</v>
      </c>
    </row>
    <row r="30" spans="1:37" x14ac:dyDescent="0.4">
      <c r="A30" s="51">
        <v>19</v>
      </c>
      <c r="B30" s="52" t="s">
        <v>102</v>
      </c>
      <c r="C30" s="53" t="s">
        <v>97</v>
      </c>
      <c r="D30" s="53" t="s">
        <v>103</v>
      </c>
      <c r="E30" s="37" t="s">
        <v>99</v>
      </c>
      <c r="F30" s="37" t="s">
        <v>99</v>
      </c>
      <c r="G30" s="37" t="s">
        <v>99</v>
      </c>
      <c r="H30" s="38" t="s">
        <v>99</v>
      </c>
      <c r="I30" s="39" t="s">
        <v>56</v>
      </c>
      <c r="J30" s="37" t="s">
        <v>99</v>
      </c>
      <c r="K30" s="37" t="s">
        <v>99</v>
      </c>
      <c r="L30" s="37" t="s">
        <v>99</v>
      </c>
      <c r="M30" s="37" t="s">
        <v>99</v>
      </c>
      <c r="N30" s="37" t="s">
        <v>99</v>
      </c>
      <c r="O30" s="38" t="s">
        <v>99</v>
      </c>
      <c r="P30" s="39" t="s">
        <v>56</v>
      </c>
      <c r="Q30" s="37" t="s">
        <v>99</v>
      </c>
      <c r="R30" s="37" t="s">
        <v>99</v>
      </c>
      <c r="S30" s="37" t="s">
        <v>99</v>
      </c>
      <c r="T30" s="37" t="s">
        <v>99</v>
      </c>
      <c r="U30" s="37" t="s">
        <v>99</v>
      </c>
      <c r="V30" s="38" t="s">
        <v>99</v>
      </c>
      <c r="W30" s="39" t="s">
        <v>56</v>
      </c>
      <c r="X30" s="37" t="s">
        <v>99</v>
      </c>
      <c r="Y30" s="37" t="s">
        <v>99</v>
      </c>
      <c r="Z30" s="37" t="s">
        <v>99</v>
      </c>
      <c r="AA30" s="37" t="s">
        <v>99</v>
      </c>
      <c r="AB30" s="37" t="s">
        <v>99</v>
      </c>
      <c r="AC30" s="38" t="s">
        <v>99</v>
      </c>
      <c r="AD30" s="39" t="s">
        <v>56</v>
      </c>
      <c r="AE30" s="37" t="s">
        <v>99</v>
      </c>
      <c r="AF30" s="37" t="s">
        <v>99</v>
      </c>
      <c r="AG30" s="37" t="s">
        <v>99</v>
      </c>
      <c r="AH30" s="37" t="s">
        <v>99</v>
      </c>
      <c r="AI30" s="37" t="s">
        <v>99</v>
      </c>
      <c r="AJ30" s="37">
        <f>COUNTA(E30:AI30)-COUNTIF(E30:AI30,"X")-COUNTIF(E30:AI30,"P")</f>
        <v>27</v>
      </c>
      <c r="AK30" s="37">
        <f>COUNTIF(E30:AI30,"X")+COUNTIF(E30:AI30,"P")</f>
        <v>4</v>
      </c>
    </row>
    <row r="31" spans="1:37" x14ac:dyDescent="0.4">
      <c r="A31" s="51">
        <v>20</v>
      </c>
      <c r="B31" s="52" t="s">
        <v>104</v>
      </c>
      <c r="C31" s="53" t="s">
        <v>97</v>
      </c>
      <c r="D31" s="53" t="s">
        <v>105</v>
      </c>
      <c r="E31" s="37" t="s">
        <v>99</v>
      </c>
      <c r="F31" s="37" t="s">
        <v>99</v>
      </c>
      <c r="G31" s="37" t="s">
        <v>99</v>
      </c>
      <c r="H31" s="38" t="s">
        <v>106</v>
      </c>
      <c r="I31" s="37" t="s">
        <v>106</v>
      </c>
      <c r="J31" s="37" t="s">
        <v>99</v>
      </c>
      <c r="K31" s="37" t="s">
        <v>99</v>
      </c>
      <c r="L31" s="37" t="s">
        <v>99</v>
      </c>
      <c r="M31" s="37" t="s">
        <v>99</v>
      </c>
      <c r="N31" s="37" t="s">
        <v>99</v>
      </c>
      <c r="O31" s="38" t="s">
        <v>106</v>
      </c>
      <c r="P31" s="37" t="s">
        <v>106</v>
      </c>
      <c r="Q31" s="37" t="s">
        <v>99</v>
      </c>
      <c r="R31" s="37" t="s">
        <v>99</v>
      </c>
      <c r="S31" s="37" t="s">
        <v>99</v>
      </c>
      <c r="T31" s="37" t="s">
        <v>99</v>
      </c>
      <c r="U31" s="37" t="s">
        <v>99</v>
      </c>
      <c r="V31" s="38" t="s">
        <v>106</v>
      </c>
      <c r="W31" s="37" t="s">
        <v>106</v>
      </c>
      <c r="X31" s="37" t="s">
        <v>99</v>
      </c>
      <c r="Y31" s="37" t="s">
        <v>99</v>
      </c>
      <c r="Z31" s="37" t="s">
        <v>99</v>
      </c>
      <c r="AA31" s="37" t="s">
        <v>99</v>
      </c>
      <c r="AB31" s="37" t="s">
        <v>99</v>
      </c>
      <c r="AC31" s="38" t="s">
        <v>106</v>
      </c>
      <c r="AD31" s="37" t="s">
        <v>106</v>
      </c>
      <c r="AE31" s="37" t="s">
        <v>99</v>
      </c>
      <c r="AF31" s="37" t="s">
        <v>99</v>
      </c>
      <c r="AG31" s="37" t="s">
        <v>99</v>
      </c>
      <c r="AH31" s="37" t="s">
        <v>99</v>
      </c>
      <c r="AI31" s="37" t="s">
        <v>99</v>
      </c>
      <c r="AJ31" s="37">
        <f>COUNTA(E31:AI31)-COUNTIF(E31:AI31,"X")-COUNTIF(E31:AI31,"P")</f>
        <v>31</v>
      </c>
      <c r="AK31" s="37">
        <f>COUNTIF(E31:AI31,"X")+COUNTIF(E31:AI31,"P")</f>
        <v>0</v>
      </c>
    </row>
    <row r="32" spans="1:37" x14ac:dyDescent="0.4">
      <c r="A32" s="54" t="s">
        <v>124</v>
      </c>
      <c r="B32" s="55"/>
      <c r="C32" s="55"/>
      <c r="D32" s="55"/>
      <c r="E32" s="55">
        <f t="shared" ref="E32:AI32" si="6">COUNTA(E28:E31)-COUNTIF(E28:E31,"X")-COUNTIF(E28:E31,"P")</f>
        <v>4</v>
      </c>
      <c r="F32" s="55">
        <f t="shared" si="6"/>
        <v>4</v>
      </c>
      <c r="G32" s="55">
        <f t="shared" si="6"/>
        <v>4</v>
      </c>
      <c r="H32" s="55">
        <f t="shared" si="6"/>
        <v>4</v>
      </c>
      <c r="I32" s="55">
        <f t="shared" si="6"/>
        <v>1</v>
      </c>
      <c r="J32" s="55">
        <f t="shared" si="6"/>
        <v>4</v>
      </c>
      <c r="K32" s="55">
        <f t="shared" si="6"/>
        <v>4</v>
      </c>
      <c r="L32" s="55">
        <f t="shared" si="6"/>
        <v>4</v>
      </c>
      <c r="M32" s="55">
        <f t="shared" si="6"/>
        <v>4</v>
      </c>
      <c r="N32" s="55">
        <f t="shared" si="6"/>
        <v>4</v>
      </c>
      <c r="O32" s="55">
        <f t="shared" si="6"/>
        <v>4</v>
      </c>
      <c r="P32" s="55">
        <f t="shared" si="6"/>
        <v>1</v>
      </c>
      <c r="Q32" s="55">
        <f t="shared" si="6"/>
        <v>4</v>
      </c>
      <c r="R32" s="55">
        <f t="shared" si="6"/>
        <v>4</v>
      </c>
      <c r="S32" s="55">
        <f t="shared" si="6"/>
        <v>4</v>
      </c>
      <c r="T32" s="55">
        <f t="shared" si="6"/>
        <v>4</v>
      </c>
      <c r="U32" s="55">
        <f t="shared" si="6"/>
        <v>4</v>
      </c>
      <c r="V32" s="55">
        <f t="shared" si="6"/>
        <v>4</v>
      </c>
      <c r="W32" s="55">
        <f t="shared" si="6"/>
        <v>1</v>
      </c>
      <c r="X32" s="55">
        <f t="shared" si="6"/>
        <v>4</v>
      </c>
      <c r="Y32" s="55">
        <f t="shared" si="6"/>
        <v>4</v>
      </c>
      <c r="Z32" s="55">
        <f t="shared" si="6"/>
        <v>4</v>
      </c>
      <c r="AA32" s="55">
        <f t="shared" si="6"/>
        <v>4</v>
      </c>
      <c r="AB32" s="55">
        <f t="shared" si="6"/>
        <v>4</v>
      </c>
      <c r="AC32" s="55">
        <f t="shared" si="6"/>
        <v>4</v>
      </c>
      <c r="AD32" s="55">
        <f t="shared" si="6"/>
        <v>1</v>
      </c>
      <c r="AE32" s="55">
        <f t="shared" si="6"/>
        <v>4</v>
      </c>
      <c r="AF32" s="55">
        <f t="shared" si="6"/>
        <v>4</v>
      </c>
      <c r="AG32" s="55">
        <f t="shared" si="6"/>
        <v>4</v>
      </c>
      <c r="AH32" s="55">
        <f t="shared" si="6"/>
        <v>4</v>
      </c>
      <c r="AI32" s="55">
        <f t="shared" si="6"/>
        <v>4</v>
      </c>
      <c r="AJ32" s="55">
        <f>SUM(AJ28:AJ31)</f>
        <v>112</v>
      </c>
      <c r="AK32" s="55">
        <f>SUM(AK28:AK31)</f>
        <v>12</v>
      </c>
    </row>
    <row r="34" spans="1:4" x14ac:dyDescent="0.4">
      <c r="A34" s="56" t="s">
        <v>125</v>
      </c>
    </row>
    <row r="35" spans="1:4" x14ac:dyDescent="0.4">
      <c r="A35" s="57" t="s">
        <v>58</v>
      </c>
      <c r="B35" s="58" t="s">
        <v>126</v>
      </c>
      <c r="D35" s="59" t="s">
        <v>127</v>
      </c>
    </row>
    <row r="36" spans="1:4" x14ac:dyDescent="0.4">
      <c r="A36" s="57" t="s">
        <v>62</v>
      </c>
      <c r="B36" s="58" t="s">
        <v>128</v>
      </c>
      <c r="D36" s="59" t="s">
        <v>129</v>
      </c>
    </row>
    <row r="37" spans="1:4" x14ac:dyDescent="0.4">
      <c r="A37" s="57" t="s">
        <v>59</v>
      </c>
      <c r="B37" s="58" t="s">
        <v>130</v>
      </c>
      <c r="D37" s="59" t="s">
        <v>131</v>
      </c>
    </row>
    <row r="38" spans="1:4" x14ac:dyDescent="0.4">
      <c r="A38" s="57" t="s">
        <v>86</v>
      </c>
      <c r="B38" s="58" t="s">
        <v>132</v>
      </c>
      <c r="D38" s="59" t="s">
        <v>133</v>
      </c>
    </row>
    <row r="39" spans="1:4" x14ac:dyDescent="0.4">
      <c r="A39" s="57" t="s">
        <v>83</v>
      </c>
      <c r="B39" s="58" t="s">
        <v>134</v>
      </c>
      <c r="D39" s="59"/>
    </row>
    <row r="40" spans="1:4" x14ac:dyDescent="0.4">
      <c r="A40" s="57" t="s">
        <v>57</v>
      </c>
      <c r="B40" s="58" t="s">
        <v>135</v>
      </c>
      <c r="D40" s="59"/>
    </row>
    <row r="41" spans="1:4" x14ac:dyDescent="0.4">
      <c r="A41" s="57" t="s">
        <v>99</v>
      </c>
      <c r="B41" s="58" t="s">
        <v>136</v>
      </c>
      <c r="D41" s="59" t="s">
        <v>137</v>
      </c>
    </row>
    <row r="42" spans="1:4" x14ac:dyDescent="0.4">
      <c r="A42" s="57" t="s">
        <v>138</v>
      </c>
      <c r="B42" s="58" t="s">
        <v>139</v>
      </c>
      <c r="D42" s="59" t="s">
        <v>137</v>
      </c>
    </row>
    <row r="43" spans="1:4" x14ac:dyDescent="0.4">
      <c r="A43" s="57" t="s">
        <v>140</v>
      </c>
      <c r="B43" s="58" t="s">
        <v>141</v>
      </c>
      <c r="D43" s="59" t="s">
        <v>137</v>
      </c>
    </row>
    <row r="44" spans="1:4" x14ac:dyDescent="0.4">
      <c r="A44" s="57" t="s">
        <v>142</v>
      </c>
      <c r="B44" s="58" t="s">
        <v>143</v>
      </c>
      <c r="D44" s="59" t="s">
        <v>137</v>
      </c>
    </row>
    <row r="45" spans="1:4" x14ac:dyDescent="0.4">
      <c r="A45" s="57" t="s">
        <v>68</v>
      </c>
      <c r="B45" s="58" t="s">
        <v>144</v>
      </c>
      <c r="D45" s="59" t="s">
        <v>145</v>
      </c>
    </row>
    <row r="46" spans="1:4" x14ac:dyDescent="0.4">
      <c r="A46" s="57" t="s">
        <v>74</v>
      </c>
      <c r="B46" s="58" t="s">
        <v>146</v>
      </c>
      <c r="D46" s="59" t="s">
        <v>147</v>
      </c>
    </row>
    <row r="47" spans="1:4" x14ac:dyDescent="0.4">
      <c r="A47" s="57" t="s">
        <v>70</v>
      </c>
      <c r="B47" s="58" t="s">
        <v>148</v>
      </c>
      <c r="D47" s="59" t="s">
        <v>149</v>
      </c>
    </row>
    <row r="48" spans="1:4" x14ac:dyDescent="0.4">
      <c r="A48" s="57" t="s">
        <v>71</v>
      </c>
      <c r="B48" s="58" t="s">
        <v>150</v>
      </c>
      <c r="D48" s="59" t="s">
        <v>151</v>
      </c>
    </row>
    <row r="49" spans="1:4" x14ac:dyDescent="0.4">
      <c r="A49" s="57" t="s">
        <v>89</v>
      </c>
      <c r="B49" s="58" t="s">
        <v>152</v>
      </c>
      <c r="D49" s="59" t="s">
        <v>153</v>
      </c>
    </row>
    <row r="50" spans="1:4" x14ac:dyDescent="0.4">
      <c r="A50" s="57" t="s">
        <v>67</v>
      </c>
      <c r="B50" s="58" t="s">
        <v>154</v>
      </c>
      <c r="D50" s="59" t="s">
        <v>155</v>
      </c>
    </row>
    <row r="51" spans="1:4" x14ac:dyDescent="0.4">
      <c r="A51" s="57" t="s">
        <v>156</v>
      </c>
      <c r="B51" s="58" t="s">
        <v>157</v>
      </c>
      <c r="D51" s="59" t="s">
        <v>158</v>
      </c>
    </row>
    <row r="52" spans="1:4" x14ac:dyDescent="0.4">
      <c r="A52" s="57" t="s">
        <v>106</v>
      </c>
      <c r="B52" s="58" t="s">
        <v>159</v>
      </c>
      <c r="D52" s="59"/>
    </row>
    <row r="53" spans="1:4" x14ac:dyDescent="0.4">
      <c r="A53" s="57" t="s">
        <v>160</v>
      </c>
      <c r="B53" s="58" t="s">
        <v>161</v>
      </c>
      <c r="D53" s="59" t="s">
        <v>137</v>
      </c>
    </row>
    <row r="54" spans="1:4" x14ac:dyDescent="0.4">
      <c r="A54" s="57" t="s">
        <v>56</v>
      </c>
      <c r="B54" s="58" t="s">
        <v>162</v>
      </c>
      <c r="D54" s="59"/>
    </row>
    <row r="55" spans="1:4" x14ac:dyDescent="0.4">
      <c r="A55" s="57" t="s">
        <v>163</v>
      </c>
      <c r="B55" s="58" t="s">
        <v>164</v>
      </c>
      <c r="D55" s="59"/>
    </row>
  </sheetData>
  <dataValidations count="1">
    <dataValidation type="list" allowBlank="1" sqref="E5:AI33" xr:uid="{00000000-0002-0000-0400-000000000000}">
      <formula1>"CG,CS,CCT,CGD,D1,D2,HC,12,21,2C,S,C,T,SC,ST,CT,SCT,LD,NG,X,P"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55"/>
  <sheetViews>
    <sheetView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4" customWidth="1"/>
    <col min="2" max="2" width="16" customWidth="1"/>
    <col min="3" max="3" width="10" customWidth="1"/>
    <col min="4" max="4" width="12" customWidth="1"/>
    <col min="5" max="35" width="4.3828125" customWidth="1"/>
    <col min="36" max="37" width="10" customWidth="1"/>
  </cols>
  <sheetData>
    <row r="1" spans="1:37" ht="16.3" x14ac:dyDescent="0.4">
      <c r="A1" s="23" t="s">
        <v>112</v>
      </c>
    </row>
    <row r="2" spans="1:37" x14ac:dyDescent="0.4">
      <c r="A2" s="24" t="s">
        <v>113</v>
      </c>
      <c r="B2" s="25">
        <v>11</v>
      </c>
      <c r="C2" s="24" t="s">
        <v>114</v>
      </c>
      <c r="D2" s="25">
        <v>2026</v>
      </c>
      <c r="E2" s="26" t="s">
        <v>115</v>
      </c>
    </row>
    <row r="3" spans="1:37" x14ac:dyDescent="0.4">
      <c r="A3" s="9" t="s">
        <v>40</v>
      </c>
      <c r="B3" s="9" t="s">
        <v>116</v>
      </c>
      <c r="C3" s="9" t="s">
        <v>43</v>
      </c>
      <c r="D3" s="9" t="s">
        <v>44</v>
      </c>
      <c r="E3" s="27">
        <v>1</v>
      </c>
      <c r="F3" s="27">
        <v>2</v>
      </c>
      <c r="G3" s="27">
        <v>3</v>
      </c>
      <c r="H3" s="27">
        <v>4</v>
      </c>
      <c r="I3" s="27">
        <v>5</v>
      </c>
      <c r="J3" s="27">
        <v>6</v>
      </c>
      <c r="K3" s="27">
        <v>7</v>
      </c>
      <c r="L3" s="27">
        <v>8</v>
      </c>
      <c r="M3" s="27">
        <v>9</v>
      </c>
      <c r="N3" s="27">
        <v>10</v>
      </c>
      <c r="O3" s="27">
        <v>11</v>
      </c>
      <c r="P3" s="27">
        <v>12</v>
      </c>
      <c r="Q3" s="27">
        <v>13</v>
      </c>
      <c r="R3" s="27">
        <v>14</v>
      </c>
      <c r="S3" s="27">
        <v>15</v>
      </c>
      <c r="T3" s="27">
        <v>16</v>
      </c>
      <c r="U3" s="27">
        <v>17</v>
      </c>
      <c r="V3" s="27">
        <v>18</v>
      </c>
      <c r="W3" s="27">
        <v>19</v>
      </c>
      <c r="X3" s="27">
        <v>20</v>
      </c>
      <c r="Y3" s="27">
        <v>21</v>
      </c>
      <c r="Z3" s="27">
        <v>22</v>
      </c>
      <c r="AA3" s="27">
        <v>23</v>
      </c>
      <c r="AB3" s="27">
        <v>24</v>
      </c>
      <c r="AC3" s="27">
        <v>25</v>
      </c>
      <c r="AD3" s="27">
        <v>26</v>
      </c>
      <c r="AE3" s="27">
        <v>27</v>
      </c>
      <c r="AF3" s="27">
        <v>28</v>
      </c>
      <c r="AG3" s="27">
        <v>29</v>
      </c>
      <c r="AH3" s="27">
        <v>30</v>
      </c>
      <c r="AI3" s="27"/>
      <c r="AJ3" s="27" t="s">
        <v>117</v>
      </c>
      <c r="AK3" s="27" t="s">
        <v>118</v>
      </c>
    </row>
    <row r="4" spans="1:37" x14ac:dyDescent="0.4">
      <c r="A4" s="28"/>
      <c r="B4" s="28"/>
      <c r="C4" s="28"/>
      <c r="D4" s="28"/>
      <c r="E4" s="30" t="s">
        <v>52</v>
      </c>
      <c r="F4" s="29" t="s">
        <v>46</v>
      </c>
      <c r="G4" s="29" t="s">
        <v>47</v>
      </c>
      <c r="H4" s="29" t="s">
        <v>48</v>
      </c>
      <c r="I4" s="29" t="s">
        <v>49</v>
      </c>
      <c r="J4" s="29" t="s">
        <v>50</v>
      </c>
      <c r="K4" s="29" t="s">
        <v>51</v>
      </c>
      <c r="L4" s="30" t="s">
        <v>52</v>
      </c>
      <c r="M4" s="29" t="s">
        <v>46</v>
      </c>
      <c r="N4" s="29" t="s">
        <v>47</v>
      </c>
      <c r="O4" s="29" t="s">
        <v>48</v>
      </c>
      <c r="P4" s="29" t="s">
        <v>49</v>
      </c>
      <c r="Q4" s="29" t="s">
        <v>50</v>
      </c>
      <c r="R4" s="29" t="s">
        <v>51</v>
      </c>
      <c r="S4" s="30" t="s">
        <v>52</v>
      </c>
      <c r="T4" s="29" t="s">
        <v>46</v>
      </c>
      <c r="U4" s="29" t="s">
        <v>47</v>
      </c>
      <c r="V4" s="29" t="s">
        <v>48</v>
      </c>
      <c r="W4" s="29" t="s">
        <v>49</v>
      </c>
      <c r="X4" s="29" t="s">
        <v>50</v>
      </c>
      <c r="Y4" s="29" t="s">
        <v>51</v>
      </c>
      <c r="Z4" s="30" t="s">
        <v>52</v>
      </c>
      <c r="AA4" s="29" t="s">
        <v>46</v>
      </c>
      <c r="AB4" s="60" t="s">
        <v>47</v>
      </c>
      <c r="AC4" s="29" t="s">
        <v>48</v>
      </c>
      <c r="AD4" s="29" t="s">
        <v>49</v>
      </c>
      <c r="AE4" s="29" t="s">
        <v>50</v>
      </c>
      <c r="AF4" s="29" t="s">
        <v>51</v>
      </c>
      <c r="AG4" s="30" t="s">
        <v>52</v>
      </c>
      <c r="AH4" s="29" t="s">
        <v>46</v>
      </c>
      <c r="AI4" s="61"/>
      <c r="AJ4" s="28"/>
      <c r="AK4" s="28"/>
    </row>
    <row r="5" spans="1:37" x14ac:dyDescent="0.4">
      <c r="A5" s="31" t="s">
        <v>119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 spans="1:37" x14ac:dyDescent="0.4">
      <c r="A6" s="33">
        <v>1</v>
      </c>
      <c r="B6" s="34" t="s">
        <v>53</v>
      </c>
      <c r="C6" s="35" t="s">
        <v>54</v>
      </c>
      <c r="D6" s="35" t="s">
        <v>55</v>
      </c>
      <c r="E6" s="38" t="s">
        <v>59</v>
      </c>
      <c r="F6" s="39" t="s">
        <v>56</v>
      </c>
      <c r="G6" s="37" t="s">
        <v>57</v>
      </c>
      <c r="H6" s="37" t="s">
        <v>58</v>
      </c>
      <c r="I6" s="37" t="s">
        <v>57</v>
      </c>
      <c r="J6" s="37" t="s">
        <v>58</v>
      </c>
      <c r="K6" s="37" t="s">
        <v>57</v>
      </c>
      <c r="L6" s="38" t="s">
        <v>59</v>
      </c>
      <c r="M6" s="39" t="s">
        <v>56</v>
      </c>
      <c r="N6" s="37" t="s">
        <v>57</v>
      </c>
      <c r="O6" s="37" t="s">
        <v>58</v>
      </c>
      <c r="P6" s="37" t="s">
        <v>57</v>
      </c>
      <c r="Q6" s="37" t="s">
        <v>58</v>
      </c>
      <c r="R6" s="37" t="s">
        <v>57</v>
      </c>
      <c r="S6" s="38" t="s">
        <v>59</v>
      </c>
      <c r="T6" s="39" t="s">
        <v>56</v>
      </c>
      <c r="U6" s="37" t="s">
        <v>57</v>
      </c>
      <c r="V6" s="37" t="s">
        <v>58</v>
      </c>
      <c r="W6" s="37" t="s">
        <v>57</v>
      </c>
      <c r="X6" s="37" t="s">
        <v>58</v>
      </c>
      <c r="Y6" s="37" t="s">
        <v>57</v>
      </c>
      <c r="Z6" s="38" t="s">
        <v>59</v>
      </c>
      <c r="AA6" s="39" t="s">
        <v>56</v>
      </c>
      <c r="AB6" s="62" t="s">
        <v>56</v>
      </c>
      <c r="AC6" s="37" t="s">
        <v>58</v>
      </c>
      <c r="AD6" s="37" t="s">
        <v>57</v>
      </c>
      <c r="AE6" s="37" t="s">
        <v>58</v>
      </c>
      <c r="AF6" s="37" t="s">
        <v>57</v>
      </c>
      <c r="AG6" s="38" t="s">
        <v>59</v>
      </c>
      <c r="AH6" s="39" t="s">
        <v>56</v>
      </c>
      <c r="AI6" s="63"/>
      <c r="AJ6" s="37">
        <f t="shared" ref="AJ6:AJ14" si="0">COUNTA(E6:AH6)-COUNTIF(E6:AH6,"X")-COUNTIF(E6:AH6,"P")</f>
        <v>24</v>
      </c>
      <c r="AK6" s="37">
        <f t="shared" ref="AK6:AK14" si="1">COUNTIF(E6:AH6,"X")+COUNTIF(E6:AH6,"P")</f>
        <v>6</v>
      </c>
    </row>
    <row r="7" spans="1:37" x14ac:dyDescent="0.4">
      <c r="A7" s="33">
        <v>2</v>
      </c>
      <c r="B7" s="34" t="s">
        <v>60</v>
      </c>
      <c r="C7" s="35" t="s">
        <v>54</v>
      </c>
      <c r="D7" s="35" t="s">
        <v>61</v>
      </c>
      <c r="E7" s="38" t="s">
        <v>59</v>
      </c>
      <c r="F7" s="39" t="s">
        <v>56</v>
      </c>
      <c r="G7" s="37" t="s">
        <v>58</v>
      </c>
      <c r="H7" s="37" t="s">
        <v>62</v>
      </c>
      <c r="I7" s="37" t="s">
        <v>58</v>
      </c>
      <c r="J7" s="37" t="s">
        <v>62</v>
      </c>
      <c r="K7" s="37" t="s">
        <v>59</v>
      </c>
      <c r="L7" s="38" t="s">
        <v>59</v>
      </c>
      <c r="M7" s="39" t="s">
        <v>56</v>
      </c>
      <c r="N7" s="37" t="s">
        <v>58</v>
      </c>
      <c r="O7" s="37" t="s">
        <v>62</v>
      </c>
      <c r="P7" s="37" t="s">
        <v>58</v>
      </c>
      <c r="Q7" s="37" t="s">
        <v>62</v>
      </c>
      <c r="R7" s="37" t="s">
        <v>59</v>
      </c>
      <c r="S7" s="38" t="s">
        <v>59</v>
      </c>
      <c r="T7" s="39" t="s">
        <v>56</v>
      </c>
      <c r="U7" s="37" t="s">
        <v>58</v>
      </c>
      <c r="V7" s="37" t="s">
        <v>62</v>
      </c>
      <c r="W7" s="37" t="s">
        <v>58</v>
      </c>
      <c r="X7" s="37" t="s">
        <v>62</v>
      </c>
      <c r="Y7" s="37" t="s">
        <v>59</v>
      </c>
      <c r="Z7" s="38" t="s">
        <v>59</v>
      </c>
      <c r="AA7" s="39" t="s">
        <v>56</v>
      </c>
      <c r="AB7" s="62" t="s">
        <v>56</v>
      </c>
      <c r="AC7" s="37" t="s">
        <v>62</v>
      </c>
      <c r="AD7" s="37" t="s">
        <v>58</v>
      </c>
      <c r="AE7" s="37" t="s">
        <v>62</v>
      </c>
      <c r="AF7" s="37" t="s">
        <v>59</v>
      </c>
      <c r="AG7" s="38" t="s">
        <v>59</v>
      </c>
      <c r="AH7" s="39" t="s">
        <v>56</v>
      </c>
      <c r="AI7" s="63"/>
      <c r="AJ7" s="37">
        <f t="shared" si="0"/>
        <v>24</v>
      </c>
      <c r="AK7" s="37">
        <f t="shared" si="1"/>
        <v>6</v>
      </c>
    </row>
    <row r="8" spans="1:37" x14ac:dyDescent="0.4">
      <c r="A8" s="33">
        <v>3</v>
      </c>
      <c r="B8" s="34" t="s">
        <v>63</v>
      </c>
      <c r="C8" s="35" t="s">
        <v>54</v>
      </c>
      <c r="D8" s="35" t="s">
        <v>61</v>
      </c>
      <c r="E8" s="38" t="s">
        <v>59</v>
      </c>
      <c r="F8" s="39" t="s">
        <v>56</v>
      </c>
      <c r="G8" s="37" t="s">
        <v>62</v>
      </c>
      <c r="H8" s="37" t="s">
        <v>58</v>
      </c>
      <c r="I8" s="37" t="s">
        <v>62</v>
      </c>
      <c r="J8" s="37" t="s">
        <v>58</v>
      </c>
      <c r="K8" s="37" t="s">
        <v>59</v>
      </c>
      <c r="L8" s="38" t="s">
        <v>59</v>
      </c>
      <c r="M8" s="39" t="s">
        <v>56</v>
      </c>
      <c r="N8" s="37" t="s">
        <v>62</v>
      </c>
      <c r="O8" s="37" t="s">
        <v>58</v>
      </c>
      <c r="P8" s="37" t="s">
        <v>62</v>
      </c>
      <c r="Q8" s="37" t="s">
        <v>58</v>
      </c>
      <c r="R8" s="37" t="s">
        <v>59</v>
      </c>
      <c r="S8" s="38" t="s">
        <v>59</v>
      </c>
      <c r="T8" s="39" t="s">
        <v>56</v>
      </c>
      <c r="U8" s="37" t="s">
        <v>62</v>
      </c>
      <c r="V8" s="37" t="s">
        <v>58</v>
      </c>
      <c r="W8" s="37" t="s">
        <v>62</v>
      </c>
      <c r="X8" s="37" t="s">
        <v>58</v>
      </c>
      <c r="Y8" s="37" t="s">
        <v>59</v>
      </c>
      <c r="Z8" s="38" t="s">
        <v>59</v>
      </c>
      <c r="AA8" s="39" t="s">
        <v>56</v>
      </c>
      <c r="AB8" s="62" t="s">
        <v>56</v>
      </c>
      <c r="AC8" s="37" t="s">
        <v>58</v>
      </c>
      <c r="AD8" s="37" t="s">
        <v>62</v>
      </c>
      <c r="AE8" s="37" t="s">
        <v>58</v>
      </c>
      <c r="AF8" s="37" t="s">
        <v>59</v>
      </c>
      <c r="AG8" s="38" t="s">
        <v>59</v>
      </c>
      <c r="AH8" s="39" t="s">
        <v>56</v>
      </c>
      <c r="AI8" s="63"/>
      <c r="AJ8" s="37">
        <f t="shared" si="0"/>
        <v>24</v>
      </c>
      <c r="AK8" s="37">
        <f t="shared" si="1"/>
        <v>6</v>
      </c>
    </row>
    <row r="9" spans="1:37" x14ac:dyDescent="0.4">
      <c r="A9" s="33">
        <v>4</v>
      </c>
      <c r="B9" s="34" t="s">
        <v>64</v>
      </c>
      <c r="C9" s="35" t="s">
        <v>54</v>
      </c>
      <c r="D9" s="35" t="s">
        <v>66</v>
      </c>
      <c r="E9" s="38"/>
      <c r="F9" s="39" t="s">
        <v>56</v>
      </c>
      <c r="G9" s="37" t="s">
        <v>67</v>
      </c>
      <c r="H9" s="37" t="s">
        <v>68</v>
      </c>
      <c r="I9" s="37"/>
      <c r="J9" s="37" t="s">
        <v>70</v>
      </c>
      <c r="K9" s="37" t="s">
        <v>71</v>
      </c>
      <c r="L9" s="38"/>
      <c r="M9" s="39" t="s">
        <v>56</v>
      </c>
      <c r="N9" s="37" t="s">
        <v>67</v>
      </c>
      <c r="O9" s="37" t="s">
        <v>68</v>
      </c>
      <c r="P9" s="37"/>
      <c r="Q9" s="37" t="s">
        <v>70</v>
      </c>
      <c r="R9" s="37" t="s">
        <v>71</v>
      </c>
      <c r="S9" s="38"/>
      <c r="T9" s="39" t="s">
        <v>56</v>
      </c>
      <c r="U9" s="37" t="s">
        <v>67</v>
      </c>
      <c r="V9" s="37" t="s">
        <v>68</v>
      </c>
      <c r="W9" s="37"/>
      <c r="X9" s="37" t="s">
        <v>70</v>
      </c>
      <c r="Y9" s="37" t="s">
        <v>71</v>
      </c>
      <c r="Z9" s="38"/>
      <c r="AA9" s="39" t="s">
        <v>56</v>
      </c>
      <c r="AB9" s="62" t="s">
        <v>56</v>
      </c>
      <c r="AC9" s="37" t="s">
        <v>68</v>
      </c>
      <c r="AD9" s="37"/>
      <c r="AE9" s="37" t="s">
        <v>70</v>
      </c>
      <c r="AF9" s="37" t="s">
        <v>71</v>
      </c>
      <c r="AG9" s="38"/>
      <c r="AH9" s="39" t="s">
        <v>56</v>
      </c>
      <c r="AI9" s="63"/>
      <c r="AJ9" s="37">
        <f t="shared" si="0"/>
        <v>15</v>
      </c>
      <c r="AK9" s="37">
        <f t="shared" si="1"/>
        <v>6</v>
      </c>
    </row>
    <row r="10" spans="1:37" x14ac:dyDescent="0.4">
      <c r="A10" s="33">
        <v>5</v>
      </c>
      <c r="B10" s="34" t="s">
        <v>72</v>
      </c>
      <c r="C10" s="35" t="s">
        <v>54</v>
      </c>
      <c r="D10" s="35" t="s">
        <v>66</v>
      </c>
      <c r="E10" s="38" t="s">
        <v>71</v>
      </c>
      <c r="F10" s="39" t="s">
        <v>56</v>
      </c>
      <c r="G10" s="37" t="s">
        <v>71</v>
      </c>
      <c r="H10" s="37" t="s">
        <v>70</v>
      </c>
      <c r="I10" s="37"/>
      <c r="J10" s="37"/>
      <c r="K10" s="37" t="s">
        <v>74</v>
      </c>
      <c r="L10" s="38" t="s">
        <v>71</v>
      </c>
      <c r="M10" s="39" t="s">
        <v>56</v>
      </c>
      <c r="N10" s="37" t="s">
        <v>71</v>
      </c>
      <c r="O10" s="37" t="s">
        <v>70</v>
      </c>
      <c r="P10" s="37"/>
      <c r="Q10" s="37"/>
      <c r="R10" s="37" t="s">
        <v>74</v>
      </c>
      <c r="S10" s="38" t="s">
        <v>71</v>
      </c>
      <c r="T10" s="39" t="s">
        <v>56</v>
      </c>
      <c r="U10" s="37" t="s">
        <v>71</v>
      </c>
      <c r="V10" s="37" t="s">
        <v>70</v>
      </c>
      <c r="W10" s="37"/>
      <c r="X10" s="37"/>
      <c r="Y10" s="37" t="s">
        <v>74</v>
      </c>
      <c r="Z10" s="38" t="s">
        <v>71</v>
      </c>
      <c r="AA10" s="39" t="s">
        <v>56</v>
      </c>
      <c r="AB10" s="62" t="s">
        <v>56</v>
      </c>
      <c r="AC10" s="37" t="s">
        <v>70</v>
      </c>
      <c r="AD10" s="37"/>
      <c r="AE10" s="37"/>
      <c r="AF10" s="37" t="s">
        <v>74</v>
      </c>
      <c r="AG10" s="38" t="s">
        <v>71</v>
      </c>
      <c r="AH10" s="39" t="s">
        <v>56</v>
      </c>
      <c r="AI10" s="63"/>
      <c r="AJ10" s="37">
        <f t="shared" si="0"/>
        <v>16</v>
      </c>
      <c r="AK10" s="37">
        <f t="shared" si="1"/>
        <v>6</v>
      </c>
    </row>
    <row r="11" spans="1:37" x14ac:dyDescent="0.4">
      <c r="A11" s="33">
        <v>6</v>
      </c>
      <c r="B11" s="34" t="s">
        <v>75</v>
      </c>
      <c r="C11" s="35" t="s">
        <v>54</v>
      </c>
      <c r="D11" s="35" t="s">
        <v>66</v>
      </c>
      <c r="E11" s="38"/>
      <c r="F11" s="39" t="s">
        <v>56</v>
      </c>
      <c r="G11" s="37" t="s">
        <v>71</v>
      </c>
      <c r="H11" s="37" t="s">
        <v>67</v>
      </c>
      <c r="I11" s="37" t="s">
        <v>71</v>
      </c>
      <c r="J11" s="37"/>
      <c r="K11" s="37"/>
      <c r="L11" s="38"/>
      <c r="M11" s="39" t="s">
        <v>56</v>
      </c>
      <c r="N11" s="37" t="s">
        <v>71</v>
      </c>
      <c r="O11" s="37" t="s">
        <v>67</v>
      </c>
      <c r="P11" s="37" t="s">
        <v>71</v>
      </c>
      <c r="Q11" s="37"/>
      <c r="R11" s="37"/>
      <c r="S11" s="38"/>
      <c r="T11" s="39" t="s">
        <v>56</v>
      </c>
      <c r="U11" s="37" t="s">
        <v>71</v>
      </c>
      <c r="V11" s="37" t="s">
        <v>67</v>
      </c>
      <c r="W11" s="37" t="s">
        <v>71</v>
      </c>
      <c r="X11" s="37"/>
      <c r="Y11" s="37"/>
      <c r="Z11" s="38"/>
      <c r="AA11" s="39" t="s">
        <v>56</v>
      </c>
      <c r="AB11" s="62" t="s">
        <v>56</v>
      </c>
      <c r="AC11" s="37" t="s">
        <v>67</v>
      </c>
      <c r="AD11" s="37" t="s">
        <v>71</v>
      </c>
      <c r="AE11" s="37"/>
      <c r="AF11" s="37"/>
      <c r="AG11" s="38"/>
      <c r="AH11" s="39" t="s">
        <v>56</v>
      </c>
      <c r="AI11" s="63"/>
      <c r="AJ11" s="37">
        <f t="shared" si="0"/>
        <v>11</v>
      </c>
      <c r="AK11" s="37">
        <f t="shared" si="1"/>
        <v>6</v>
      </c>
    </row>
    <row r="12" spans="1:37" x14ac:dyDescent="0.4">
      <c r="A12" s="33">
        <v>7</v>
      </c>
      <c r="B12" s="34" t="s">
        <v>77</v>
      </c>
      <c r="C12" s="35" t="s">
        <v>54</v>
      </c>
      <c r="D12" s="35" t="s">
        <v>66</v>
      </c>
      <c r="E12" s="38" t="s">
        <v>68</v>
      </c>
      <c r="F12" s="39" t="s">
        <v>56</v>
      </c>
      <c r="G12" s="37" t="s">
        <v>71</v>
      </c>
      <c r="H12" s="37"/>
      <c r="I12" s="37" t="s">
        <v>67</v>
      </c>
      <c r="J12" s="37" t="s">
        <v>70</v>
      </c>
      <c r="K12" s="37"/>
      <c r="L12" s="38" t="s">
        <v>68</v>
      </c>
      <c r="M12" s="39" t="s">
        <v>56</v>
      </c>
      <c r="N12" s="37" t="s">
        <v>71</v>
      </c>
      <c r="O12" s="37"/>
      <c r="P12" s="37" t="s">
        <v>67</v>
      </c>
      <c r="Q12" s="37" t="s">
        <v>70</v>
      </c>
      <c r="R12" s="37"/>
      <c r="S12" s="38" t="s">
        <v>68</v>
      </c>
      <c r="T12" s="39" t="s">
        <v>56</v>
      </c>
      <c r="U12" s="37" t="s">
        <v>71</v>
      </c>
      <c r="V12" s="37"/>
      <c r="W12" s="37" t="s">
        <v>67</v>
      </c>
      <c r="X12" s="37" t="s">
        <v>70</v>
      </c>
      <c r="Y12" s="37"/>
      <c r="Z12" s="38" t="s">
        <v>68</v>
      </c>
      <c r="AA12" s="39" t="s">
        <v>56</v>
      </c>
      <c r="AB12" s="62" t="s">
        <v>56</v>
      </c>
      <c r="AC12" s="37"/>
      <c r="AD12" s="37" t="s">
        <v>67</v>
      </c>
      <c r="AE12" s="37" t="s">
        <v>70</v>
      </c>
      <c r="AF12" s="37"/>
      <c r="AG12" s="38" t="s">
        <v>68</v>
      </c>
      <c r="AH12" s="39" t="s">
        <v>56</v>
      </c>
      <c r="AI12" s="63"/>
      <c r="AJ12" s="37">
        <f t="shared" si="0"/>
        <v>16</v>
      </c>
      <c r="AK12" s="37">
        <f t="shared" si="1"/>
        <v>6</v>
      </c>
    </row>
    <row r="13" spans="1:37" x14ac:dyDescent="0.4">
      <c r="A13" s="33">
        <v>8</v>
      </c>
      <c r="B13" s="34" t="s">
        <v>79</v>
      </c>
      <c r="C13" s="35" t="s">
        <v>54</v>
      </c>
      <c r="D13" s="35" t="s">
        <v>66</v>
      </c>
      <c r="E13" s="38" t="s">
        <v>68</v>
      </c>
      <c r="F13" s="39" t="s">
        <v>56</v>
      </c>
      <c r="G13" s="37" t="s">
        <v>67</v>
      </c>
      <c r="H13" s="37"/>
      <c r="I13" s="37" t="s">
        <v>70</v>
      </c>
      <c r="J13" s="37" t="s">
        <v>70</v>
      </c>
      <c r="K13" s="37" t="s">
        <v>68</v>
      </c>
      <c r="L13" s="38" t="s">
        <v>68</v>
      </c>
      <c r="M13" s="39" t="s">
        <v>56</v>
      </c>
      <c r="N13" s="37" t="s">
        <v>67</v>
      </c>
      <c r="O13" s="37"/>
      <c r="P13" s="37" t="s">
        <v>70</v>
      </c>
      <c r="Q13" s="37" t="s">
        <v>70</v>
      </c>
      <c r="R13" s="37" t="s">
        <v>68</v>
      </c>
      <c r="S13" s="38" t="s">
        <v>68</v>
      </c>
      <c r="T13" s="39" t="s">
        <v>56</v>
      </c>
      <c r="U13" s="37" t="s">
        <v>67</v>
      </c>
      <c r="V13" s="37"/>
      <c r="W13" s="37" t="s">
        <v>70</v>
      </c>
      <c r="X13" s="37" t="s">
        <v>70</v>
      </c>
      <c r="Y13" s="37" t="s">
        <v>68</v>
      </c>
      <c r="Z13" s="38" t="s">
        <v>68</v>
      </c>
      <c r="AA13" s="39" t="s">
        <v>56</v>
      </c>
      <c r="AB13" s="62" t="s">
        <v>56</v>
      </c>
      <c r="AC13" s="37"/>
      <c r="AD13" s="37" t="s">
        <v>70</v>
      </c>
      <c r="AE13" s="37" t="s">
        <v>70</v>
      </c>
      <c r="AF13" s="37" t="s">
        <v>68</v>
      </c>
      <c r="AG13" s="38" t="s">
        <v>68</v>
      </c>
      <c r="AH13" s="39" t="s">
        <v>56</v>
      </c>
      <c r="AI13" s="63"/>
      <c r="AJ13" s="37">
        <f t="shared" si="0"/>
        <v>20</v>
      </c>
      <c r="AK13" s="37">
        <f t="shared" si="1"/>
        <v>6</v>
      </c>
    </row>
    <row r="14" spans="1:37" x14ac:dyDescent="0.4">
      <c r="A14" s="33">
        <v>9</v>
      </c>
      <c r="B14" s="34" t="s">
        <v>81</v>
      </c>
      <c r="C14" s="35" t="s">
        <v>54</v>
      </c>
      <c r="D14" s="35" t="s">
        <v>66</v>
      </c>
      <c r="E14" s="38"/>
      <c r="F14" s="39" t="s">
        <v>56</v>
      </c>
      <c r="G14" s="37"/>
      <c r="H14" s="37"/>
      <c r="I14" s="37"/>
      <c r="J14" s="37"/>
      <c r="K14" s="37" t="s">
        <v>74</v>
      </c>
      <c r="L14" s="38"/>
      <c r="M14" s="39" t="s">
        <v>56</v>
      </c>
      <c r="N14" s="37"/>
      <c r="O14" s="37"/>
      <c r="P14" s="37"/>
      <c r="Q14" s="37"/>
      <c r="R14" s="37" t="s">
        <v>74</v>
      </c>
      <c r="S14" s="38"/>
      <c r="T14" s="39" t="s">
        <v>56</v>
      </c>
      <c r="U14" s="37"/>
      <c r="V14" s="37"/>
      <c r="W14" s="37"/>
      <c r="X14" s="37"/>
      <c r="Y14" s="37" t="s">
        <v>74</v>
      </c>
      <c r="Z14" s="38"/>
      <c r="AA14" s="39" t="s">
        <v>56</v>
      </c>
      <c r="AB14" s="62" t="s">
        <v>56</v>
      </c>
      <c r="AC14" s="37"/>
      <c r="AD14" s="37"/>
      <c r="AE14" s="37"/>
      <c r="AF14" s="37" t="s">
        <v>74</v>
      </c>
      <c r="AG14" s="38"/>
      <c r="AH14" s="39" t="s">
        <v>56</v>
      </c>
      <c r="AI14" s="63"/>
      <c r="AJ14" s="37">
        <f t="shared" si="0"/>
        <v>4</v>
      </c>
      <c r="AK14" s="37">
        <f t="shared" si="1"/>
        <v>6</v>
      </c>
    </row>
    <row r="15" spans="1:37" x14ac:dyDescent="0.4">
      <c r="A15" s="40" t="s">
        <v>120</v>
      </c>
      <c r="B15" s="41"/>
      <c r="C15" s="41"/>
      <c r="D15" s="41"/>
      <c r="E15" s="41">
        <f t="shared" ref="E15:AH15" si="2">COUNTA(E6:E14)-COUNTIF(E6:E14,"X")-COUNTIF(E6:E14,"P")</f>
        <v>6</v>
      </c>
      <c r="F15" s="41">
        <f t="shared" si="2"/>
        <v>0</v>
      </c>
      <c r="G15" s="41">
        <f t="shared" si="2"/>
        <v>8</v>
      </c>
      <c r="H15" s="41">
        <f t="shared" si="2"/>
        <v>6</v>
      </c>
      <c r="I15" s="41">
        <f t="shared" si="2"/>
        <v>6</v>
      </c>
      <c r="J15" s="41">
        <f t="shared" si="2"/>
        <v>6</v>
      </c>
      <c r="K15" s="41">
        <f t="shared" si="2"/>
        <v>7</v>
      </c>
      <c r="L15" s="41">
        <f t="shared" si="2"/>
        <v>6</v>
      </c>
      <c r="M15" s="41">
        <f t="shared" si="2"/>
        <v>0</v>
      </c>
      <c r="N15" s="41">
        <f t="shared" si="2"/>
        <v>8</v>
      </c>
      <c r="O15" s="41">
        <f t="shared" si="2"/>
        <v>6</v>
      </c>
      <c r="P15" s="41">
        <f t="shared" si="2"/>
        <v>6</v>
      </c>
      <c r="Q15" s="41">
        <f t="shared" si="2"/>
        <v>6</v>
      </c>
      <c r="R15" s="41">
        <f t="shared" si="2"/>
        <v>7</v>
      </c>
      <c r="S15" s="41">
        <f t="shared" si="2"/>
        <v>6</v>
      </c>
      <c r="T15" s="41">
        <f t="shared" si="2"/>
        <v>0</v>
      </c>
      <c r="U15" s="41">
        <f t="shared" si="2"/>
        <v>8</v>
      </c>
      <c r="V15" s="41">
        <f t="shared" si="2"/>
        <v>6</v>
      </c>
      <c r="W15" s="41">
        <f t="shared" si="2"/>
        <v>6</v>
      </c>
      <c r="X15" s="41">
        <f t="shared" si="2"/>
        <v>6</v>
      </c>
      <c r="Y15" s="41">
        <f t="shared" si="2"/>
        <v>7</v>
      </c>
      <c r="Z15" s="41">
        <f t="shared" si="2"/>
        <v>6</v>
      </c>
      <c r="AA15" s="41">
        <f t="shared" si="2"/>
        <v>0</v>
      </c>
      <c r="AB15" s="41">
        <f t="shared" si="2"/>
        <v>0</v>
      </c>
      <c r="AC15" s="41">
        <f t="shared" si="2"/>
        <v>6</v>
      </c>
      <c r="AD15" s="41">
        <f t="shared" si="2"/>
        <v>6</v>
      </c>
      <c r="AE15" s="41">
        <f t="shared" si="2"/>
        <v>6</v>
      </c>
      <c r="AF15" s="41">
        <f t="shared" si="2"/>
        <v>7</v>
      </c>
      <c r="AG15" s="41">
        <f t="shared" si="2"/>
        <v>6</v>
      </c>
      <c r="AH15" s="41">
        <f t="shared" si="2"/>
        <v>0</v>
      </c>
      <c r="AI15" s="41"/>
      <c r="AJ15" s="41">
        <f>SUM(AJ6:AJ14)</f>
        <v>154</v>
      </c>
      <c r="AK15" s="41">
        <f>SUM(AK6:AK14)</f>
        <v>54</v>
      </c>
    </row>
    <row r="17" spans="1:37" x14ac:dyDescent="0.4">
      <c r="A17" s="42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</row>
    <row r="18" spans="1:37" x14ac:dyDescent="0.4">
      <c r="A18" s="44">
        <v>10</v>
      </c>
      <c r="B18" s="45" t="s">
        <v>53</v>
      </c>
      <c r="C18" s="46" t="s">
        <v>82</v>
      </c>
      <c r="D18" s="46" t="s">
        <v>55</v>
      </c>
      <c r="E18" s="38" t="s">
        <v>83</v>
      </c>
      <c r="F18" s="39" t="s">
        <v>56</v>
      </c>
      <c r="G18" s="37" t="s">
        <v>58</v>
      </c>
      <c r="H18" s="37" t="s">
        <v>83</v>
      </c>
      <c r="I18" s="37" t="s">
        <v>58</v>
      </c>
      <c r="J18" s="37" t="s">
        <v>83</v>
      </c>
      <c r="K18" s="37" t="s">
        <v>59</v>
      </c>
      <c r="L18" s="38" t="s">
        <v>83</v>
      </c>
      <c r="M18" s="39" t="s">
        <v>56</v>
      </c>
      <c r="N18" s="37" t="s">
        <v>58</v>
      </c>
      <c r="O18" s="37" t="s">
        <v>83</v>
      </c>
      <c r="P18" s="37" t="s">
        <v>58</v>
      </c>
      <c r="Q18" s="37" t="s">
        <v>83</v>
      </c>
      <c r="R18" s="37" t="s">
        <v>59</v>
      </c>
      <c r="S18" s="38" t="s">
        <v>83</v>
      </c>
      <c r="T18" s="39" t="s">
        <v>56</v>
      </c>
      <c r="U18" s="37" t="s">
        <v>58</v>
      </c>
      <c r="V18" s="37" t="s">
        <v>83</v>
      </c>
      <c r="W18" s="37" t="s">
        <v>58</v>
      </c>
      <c r="X18" s="37" t="s">
        <v>83</v>
      </c>
      <c r="Y18" s="37" t="s">
        <v>59</v>
      </c>
      <c r="Z18" s="38" t="s">
        <v>83</v>
      </c>
      <c r="AA18" s="39" t="s">
        <v>56</v>
      </c>
      <c r="AB18" s="62" t="s">
        <v>56</v>
      </c>
      <c r="AC18" s="37" t="s">
        <v>83</v>
      </c>
      <c r="AD18" s="37" t="s">
        <v>58</v>
      </c>
      <c r="AE18" s="37" t="s">
        <v>83</v>
      </c>
      <c r="AF18" s="37" t="s">
        <v>59</v>
      </c>
      <c r="AG18" s="38" t="s">
        <v>83</v>
      </c>
      <c r="AH18" s="39" t="s">
        <v>56</v>
      </c>
      <c r="AI18" s="63"/>
      <c r="AJ18" s="37">
        <f t="shared" ref="AJ18:AJ24" si="3">COUNTA(E18:AH18)-COUNTIF(E18:AH18,"X")-COUNTIF(E18:AH18,"P")</f>
        <v>24</v>
      </c>
      <c r="AK18" s="37">
        <f t="shared" ref="AK18:AK24" si="4">COUNTIF(E18:AH18,"X")+COUNTIF(E18:AH18,"P")</f>
        <v>6</v>
      </c>
    </row>
    <row r="19" spans="1:37" x14ac:dyDescent="0.4">
      <c r="A19" s="44">
        <v>11</v>
      </c>
      <c r="B19" s="45" t="s">
        <v>84</v>
      </c>
      <c r="C19" s="46" t="s">
        <v>82</v>
      </c>
      <c r="D19" s="46" t="s">
        <v>61</v>
      </c>
      <c r="E19" s="38" t="s">
        <v>59</v>
      </c>
      <c r="F19" s="39" t="s">
        <v>56</v>
      </c>
      <c r="G19" s="37" t="s">
        <v>62</v>
      </c>
      <c r="H19" s="37" t="s">
        <v>58</v>
      </c>
      <c r="I19" s="37" t="s">
        <v>62</v>
      </c>
      <c r="J19" s="37" t="s">
        <v>58</v>
      </c>
      <c r="K19" s="37" t="s">
        <v>59</v>
      </c>
      <c r="L19" s="38" t="s">
        <v>59</v>
      </c>
      <c r="M19" s="39" t="s">
        <v>56</v>
      </c>
      <c r="N19" s="37" t="s">
        <v>62</v>
      </c>
      <c r="O19" s="37" t="s">
        <v>58</v>
      </c>
      <c r="P19" s="37" t="s">
        <v>62</v>
      </c>
      <c r="Q19" s="37" t="s">
        <v>58</v>
      </c>
      <c r="R19" s="37" t="s">
        <v>59</v>
      </c>
      <c r="S19" s="38" t="s">
        <v>59</v>
      </c>
      <c r="T19" s="39" t="s">
        <v>56</v>
      </c>
      <c r="U19" s="37" t="s">
        <v>62</v>
      </c>
      <c r="V19" s="37" t="s">
        <v>58</v>
      </c>
      <c r="W19" s="37" t="s">
        <v>62</v>
      </c>
      <c r="X19" s="37" t="s">
        <v>58</v>
      </c>
      <c r="Y19" s="37" t="s">
        <v>59</v>
      </c>
      <c r="Z19" s="38" t="s">
        <v>59</v>
      </c>
      <c r="AA19" s="39" t="s">
        <v>56</v>
      </c>
      <c r="AB19" s="62" t="s">
        <v>56</v>
      </c>
      <c r="AC19" s="37" t="s">
        <v>58</v>
      </c>
      <c r="AD19" s="37" t="s">
        <v>62</v>
      </c>
      <c r="AE19" s="37" t="s">
        <v>58</v>
      </c>
      <c r="AF19" s="37" t="s">
        <v>59</v>
      </c>
      <c r="AG19" s="38" t="s">
        <v>59</v>
      </c>
      <c r="AH19" s="39" t="s">
        <v>56</v>
      </c>
      <c r="AI19" s="63"/>
      <c r="AJ19" s="37">
        <f t="shared" si="3"/>
        <v>24</v>
      </c>
      <c r="AK19" s="37">
        <f t="shared" si="4"/>
        <v>6</v>
      </c>
    </row>
    <row r="20" spans="1:37" x14ac:dyDescent="0.4">
      <c r="A20" s="44">
        <v>12</v>
      </c>
      <c r="B20" s="45" t="s">
        <v>85</v>
      </c>
      <c r="C20" s="46" t="s">
        <v>82</v>
      </c>
      <c r="D20" s="46" t="s">
        <v>61</v>
      </c>
      <c r="E20" s="39" t="s">
        <v>56</v>
      </c>
      <c r="F20" s="39" t="s">
        <v>56</v>
      </c>
      <c r="G20" s="37" t="s">
        <v>86</v>
      </c>
      <c r="H20" s="37" t="s">
        <v>86</v>
      </c>
      <c r="I20" s="37" t="s">
        <v>86</v>
      </c>
      <c r="J20" s="37" t="s">
        <v>86</v>
      </c>
      <c r="K20" s="37" t="s">
        <v>86</v>
      </c>
      <c r="L20" s="39" t="s">
        <v>56</v>
      </c>
      <c r="M20" s="39" t="s">
        <v>56</v>
      </c>
      <c r="N20" s="37" t="s">
        <v>86</v>
      </c>
      <c r="O20" s="37" t="s">
        <v>86</v>
      </c>
      <c r="P20" s="37" t="s">
        <v>86</v>
      </c>
      <c r="Q20" s="37" t="s">
        <v>86</v>
      </c>
      <c r="R20" s="37" t="s">
        <v>86</v>
      </c>
      <c r="S20" s="39" t="s">
        <v>56</v>
      </c>
      <c r="T20" s="39" t="s">
        <v>56</v>
      </c>
      <c r="U20" s="37" t="s">
        <v>86</v>
      </c>
      <c r="V20" s="37" t="s">
        <v>86</v>
      </c>
      <c r="W20" s="37" t="s">
        <v>86</v>
      </c>
      <c r="X20" s="37" t="s">
        <v>86</v>
      </c>
      <c r="Y20" s="37" t="s">
        <v>86</v>
      </c>
      <c r="Z20" s="39" t="s">
        <v>56</v>
      </c>
      <c r="AA20" s="39" t="s">
        <v>56</v>
      </c>
      <c r="AB20" s="62" t="s">
        <v>56</v>
      </c>
      <c r="AC20" s="37" t="s">
        <v>86</v>
      </c>
      <c r="AD20" s="37" t="s">
        <v>86</v>
      </c>
      <c r="AE20" s="37" t="s">
        <v>86</v>
      </c>
      <c r="AF20" s="37" t="s">
        <v>86</v>
      </c>
      <c r="AG20" s="39" t="s">
        <v>56</v>
      </c>
      <c r="AH20" s="39" t="s">
        <v>56</v>
      </c>
      <c r="AI20" s="63"/>
      <c r="AJ20" s="37">
        <f t="shared" si="3"/>
        <v>19</v>
      </c>
      <c r="AK20" s="37">
        <f t="shared" si="4"/>
        <v>11</v>
      </c>
    </row>
    <row r="21" spans="1:37" x14ac:dyDescent="0.4">
      <c r="A21" s="44">
        <v>13</v>
      </c>
      <c r="B21" s="45" t="s">
        <v>87</v>
      </c>
      <c r="C21" s="46" t="s">
        <v>82</v>
      </c>
      <c r="D21" s="46" t="s">
        <v>66</v>
      </c>
      <c r="E21" s="38"/>
      <c r="F21" s="39" t="s">
        <v>56</v>
      </c>
      <c r="G21" s="37" t="s">
        <v>67</v>
      </c>
      <c r="H21" s="37" t="s">
        <v>89</v>
      </c>
      <c r="I21" s="37"/>
      <c r="J21" s="37" t="s">
        <v>70</v>
      </c>
      <c r="K21" s="37" t="s">
        <v>74</v>
      </c>
      <c r="L21" s="38"/>
      <c r="M21" s="39" t="s">
        <v>56</v>
      </c>
      <c r="N21" s="37" t="s">
        <v>67</v>
      </c>
      <c r="O21" s="37" t="s">
        <v>89</v>
      </c>
      <c r="P21" s="37"/>
      <c r="Q21" s="37" t="s">
        <v>70</v>
      </c>
      <c r="R21" s="37" t="s">
        <v>74</v>
      </c>
      <c r="S21" s="38"/>
      <c r="T21" s="39" t="s">
        <v>56</v>
      </c>
      <c r="U21" s="37" t="s">
        <v>67</v>
      </c>
      <c r="V21" s="37" t="s">
        <v>89</v>
      </c>
      <c r="W21" s="37"/>
      <c r="X21" s="37" t="s">
        <v>70</v>
      </c>
      <c r="Y21" s="37" t="s">
        <v>74</v>
      </c>
      <c r="Z21" s="38"/>
      <c r="AA21" s="39" t="s">
        <v>56</v>
      </c>
      <c r="AB21" s="62" t="s">
        <v>56</v>
      </c>
      <c r="AC21" s="37" t="s">
        <v>89</v>
      </c>
      <c r="AD21" s="37"/>
      <c r="AE21" s="37" t="s">
        <v>70</v>
      </c>
      <c r="AF21" s="37" t="s">
        <v>74</v>
      </c>
      <c r="AG21" s="38"/>
      <c r="AH21" s="39" t="s">
        <v>56</v>
      </c>
      <c r="AI21" s="63"/>
      <c r="AJ21" s="37">
        <f t="shared" si="3"/>
        <v>15</v>
      </c>
      <c r="AK21" s="37">
        <f t="shared" si="4"/>
        <v>6</v>
      </c>
    </row>
    <row r="22" spans="1:37" x14ac:dyDescent="0.4">
      <c r="A22" s="44">
        <v>14</v>
      </c>
      <c r="B22" s="45" t="s">
        <v>90</v>
      </c>
      <c r="C22" s="46" t="s">
        <v>82</v>
      </c>
      <c r="D22" s="46" t="s">
        <v>66</v>
      </c>
      <c r="E22" s="38"/>
      <c r="F22" s="39" t="s">
        <v>56</v>
      </c>
      <c r="G22" s="37" t="s">
        <v>68</v>
      </c>
      <c r="H22" s="37" t="s">
        <v>89</v>
      </c>
      <c r="I22" s="37"/>
      <c r="J22" s="37" t="s">
        <v>71</v>
      </c>
      <c r="K22" s="37" t="s">
        <v>74</v>
      </c>
      <c r="L22" s="38"/>
      <c r="M22" s="39" t="s">
        <v>56</v>
      </c>
      <c r="N22" s="37" t="s">
        <v>68</v>
      </c>
      <c r="O22" s="37" t="s">
        <v>89</v>
      </c>
      <c r="P22" s="37"/>
      <c r="Q22" s="37" t="s">
        <v>71</v>
      </c>
      <c r="R22" s="37" t="s">
        <v>74</v>
      </c>
      <c r="S22" s="38"/>
      <c r="T22" s="39" t="s">
        <v>56</v>
      </c>
      <c r="U22" s="37" t="s">
        <v>68</v>
      </c>
      <c r="V22" s="37" t="s">
        <v>89</v>
      </c>
      <c r="W22" s="37"/>
      <c r="X22" s="37" t="s">
        <v>71</v>
      </c>
      <c r="Y22" s="37" t="s">
        <v>74</v>
      </c>
      <c r="Z22" s="38"/>
      <c r="AA22" s="39" t="s">
        <v>56</v>
      </c>
      <c r="AB22" s="62" t="s">
        <v>56</v>
      </c>
      <c r="AC22" s="37" t="s">
        <v>89</v>
      </c>
      <c r="AD22" s="37"/>
      <c r="AE22" s="37" t="s">
        <v>71</v>
      </c>
      <c r="AF22" s="37" t="s">
        <v>74</v>
      </c>
      <c r="AG22" s="38"/>
      <c r="AH22" s="39" t="s">
        <v>56</v>
      </c>
      <c r="AI22" s="63"/>
      <c r="AJ22" s="37">
        <f t="shared" si="3"/>
        <v>15</v>
      </c>
      <c r="AK22" s="37">
        <f t="shared" si="4"/>
        <v>6</v>
      </c>
    </row>
    <row r="23" spans="1:37" x14ac:dyDescent="0.4">
      <c r="A23" s="44">
        <v>15</v>
      </c>
      <c r="B23" s="45" t="s">
        <v>92</v>
      </c>
      <c r="C23" s="46" t="s">
        <v>82</v>
      </c>
      <c r="D23" s="46" t="s">
        <v>66</v>
      </c>
      <c r="E23" s="38" t="s">
        <v>68</v>
      </c>
      <c r="F23" s="39" t="s">
        <v>56</v>
      </c>
      <c r="G23" s="37" t="s">
        <v>67</v>
      </c>
      <c r="H23" s="37" t="s">
        <v>70</v>
      </c>
      <c r="I23" s="37" t="s">
        <v>67</v>
      </c>
      <c r="J23" s="37" t="s">
        <v>74</v>
      </c>
      <c r="K23" s="37" t="s">
        <v>71</v>
      </c>
      <c r="L23" s="38" t="s">
        <v>68</v>
      </c>
      <c r="M23" s="39" t="s">
        <v>56</v>
      </c>
      <c r="N23" s="37" t="s">
        <v>67</v>
      </c>
      <c r="O23" s="37" t="s">
        <v>70</v>
      </c>
      <c r="P23" s="37" t="s">
        <v>67</v>
      </c>
      <c r="Q23" s="37" t="s">
        <v>74</v>
      </c>
      <c r="R23" s="37" t="s">
        <v>71</v>
      </c>
      <c r="S23" s="38" t="s">
        <v>68</v>
      </c>
      <c r="T23" s="39" t="s">
        <v>56</v>
      </c>
      <c r="U23" s="37" t="s">
        <v>67</v>
      </c>
      <c r="V23" s="37" t="s">
        <v>70</v>
      </c>
      <c r="W23" s="37" t="s">
        <v>67</v>
      </c>
      <c r="X23" s="37" t="s">
        <v>74</v>
      </c>
      <c r="Y23" s="37" t="s">
        <v>71</v>
      </c>
      <c r="Z23" s="38" t="s">
        <v>68</v>
      </c>
      <c r="AA23" s="39" t="s">
        <v>56</v>
      </c>
      <c r="AB23" s="62" t="s">
        <v>56</v>
      </c>
      <c r="AC23" s="37" t="s">
        <v>70</v>
      </c>
      <c r="AD23" s="37" t="s">
        <v>67</v>
      </c>
      <c r="AE23" s="37" t="s">
        <v>74</v>
      </c>
      <c r="AF23" s="37" t="s">
        <v>71</v>
      </c>
      <c r="AG23" s="38" t="s">
        <v>68</v>
      </c>
      <c r="AH23" s="39" t="s">
        <v>56</v>
      </c>
      <c r="AI23" s="63"/>
      <c r="AJ23" s="37">
        <f t="shared" si="3"/>
        <v>24</v>
      </c>
      <c r="AK23" s="37">
        <f t="shared" si="4"/>
        <v>6</v>
      </c>
    </row>
    <row r="24" spans="1:37" x14ac:dyDescent="0.4">
      <c r="A24" s="44">
        <v>16</v>
      </c>
      <c r="B24" s="45" t="s">
        <v>94</v>
      </c>
      <c r="C24" s="46" t="s">
        <v>82</v>
      </c>
      <c r="D24" s="46" t="s">
        <v>66</v>
      </c>
      <c r="E24" s="38" t="s">
        <v>68</v>
      </c>
      <c r="F24" s="39" t="s">
        <v>56</v>
      </c>
      <c r="G24" s="37" t="s">
        <v>71</v>
      </c>
      <c r="H24" s="37"/>
      <c r="I24" s="37" t="s">
        <v>67</v>
      </c>
      <c r="J24" s="37" t="s">
        <v>70</v>
      </c>
      <c r="K24" s="37"/>
      <c r="L24" s="38" t="s">
        <v>68</v>
      </c>
      <c r="M24" s="39" t="s">
        <v>56</v>
      </c>
      <c r="N24" s="37" t="s">
        <v>71</v>
      </c>
      <c r="O24" s="37"/>
      <c r="P24" s="37" t="s">
        <v>67</v>
      </c>
      <c r="Q24" s="37" t="s">
        <v>70</v>
      </c>
      <c r="R24" s="37"/>
      <c r="S24" s="38" t="s">
        <v>68</v>
      </c>
      <c r="T24" s="39" t="s">
        <v>56</v>
      </c>
      <c r="U24" s="37" t="s">
        <v>71</v>
      </c>
      <c r="V24" s="37"/>
      <c r="W24" s="37" t="s">
        <v>67</v>
      </c>
      <c r="X24" s="37" t="s">
        <v>70</v>
      </c>
      <c r="Y24" s="37"/>
      <c r="Z24" s="38" t="s">
        <v>68</v>
      </c>
      <c r="AA24" s="39" t="s">
        <v>56</v>
      </c>
      <c r="AB24" s="62" t="s">
        <v>56</v>
      </c>
      <c r="AC24" s="37"/>
      <c r="AD24" s="37" t="s">
        <v>67</v>
      </c>
      <c r="AE24" s="37" t="s">
        <v>70</v>
      </c>
      <c r="AF24" s="37"/>
      <c r="AG24" s="38" t="s">
        <v>68</v>
      </c>
      <c r="AH24" s="39" t="s">
        <v>56</v>
      </c>
      <c r="AI24" s="63"/>
      <c r="AJ24" s="37">
        <f t="shared" si="3"/>
        <v>16</v>
      </c>
      <c r="AK24" s="37">
        <f t="shared" si="4"/>
        <v>6</v>
      </c>
    </row>
    <row r="25" spans="1:37" x14ac:dyDescent="0.4">
      <c r="A25" s="47" t="s">
        <v>122</v>
      </c>
      <c r="B25" s="48"/>
      <c r="C25" s="48"/>
      <c r="D25" s="48"/>
      <c r="E25" s="48">
        <f t="shared" ref="E25:AH25" si="5">COUNTA(E18:E24)-COUNTIF(E18:E24,"X")-COUNTIF(E18:E24,"P")</f>
        <v>4</v>
      </c>
      <c r="F25" s="48">
        <f t="shared" si="5"/>
        <v>0</v>
      </c>
      <c r="G25" s="48">
        <f t="shared" si="5"/>
        <v>7</v>
      </c>
      <c r="H25" s="48">
        <f t="shared" si="5"/>
        <v>6</v>
      </c>
      <c r="I25" s="48">
        <f t="shared" si="5"/>
        <v>5</v>
      </c>
      <c r="J25" s="48">
        <f t="shared" si="5"/>
        <v>7</v>
      </c>
      <c r="K25" s="48">
        <f t="shared" si="5"/>
        <v>6</v>
      </c>
      <c r="L25" s="48">
        <f t="shared" si="5"/>
        <v>4</v>
      </c>
      <c r="M25" s="48">
        <f t="shared" si="5"/>
        <v>0</v>
      </c>
      <c r="N25" s="48">
        <f t="shared" si="5"/>
        <v>7</v>
      </c>
      <c r="O25" s="48">
        <f t="shared" si="5"/>
        <v>6</v>
      </c>
      <c r="P25" s="48">
        <f t="shared" si="5"/>
        <v>5</v>
      </c>
      <c r="Q25" s="48">
        <f t="shared" si="5"/>
        <v>7</v>
      </c>
      <c r="R25" s="48">
        <f t="shared" si="5"/>
        <v>6</v>
      </c>
      <c r="S25" s="48">
        <f t="shared" si="5"/>
        <v>4</v>
      </c>
      <c r="T25" s="48">
        <f t="shared" si="5"/>
        <v>0</v>
      </c>
      <c r="U25" s="48">
        <f t="shared" si="5"/>
        <v>7</v>
      </c>
      <c r="V25" s="48">
        <f t="shared" si="5"/>
        <v>6</v>
      </c>
      <c r="W25" s="48">
        <f t="shared" si="5"/>
        <v>5</v>
      </c>
      <c r="X25" s="48">
        <f t="shared" si="5"/>
        <v>7</v>
      </c>
      <c r="Y25" s="48">
        <f t="shared" si="5"/>
        <v>6</v>
      </c>
      <c r="Z25" s="48">
        <f t="shared" si="5"/>
        <v>4</v>
      </c>
      <c r="AA25" s="48">
        <f t="shared" si="5"/>
        <v>0</v>
      </c>
      <c r="AB25" s="48">
        <f t="shared" si="5"/>
        <v>0</v>
      </c>
      <c r="AC25" s="48">
        <f t="shared" si="5"/>
        <v>6</v>
      </c>
      <c r="AD25" s="48">
        <f t="shared" si="5"/>
        <v>5</v>
      </c>
      <c r="AE25" s="48">
        <f t="shared" si="5"/>
        <v>7</v>
      </c>
      <c r="AF25" s="48">
        <f t="shared" si="5"/>
        <v>6</v>
      </c>
      <c r="AG25" s="48">
        <f t="shared" si="5"/>
        <v>4</v>
      </c>
      <c r="AH25" s="48">
        <f t="shared" si="5"/>
        <v>0</v>
      </c>
      <c r="AI25" s="48"/>
      <c r="AJ25" s="48">
        <f>SUM(AJ18:AJ24)</f>
        <v>137</v>
      </c>
      <c r="AK25" s="48">
        <f>SUM(AK18:AK24)</f>
        <v>47</v>
      </c>
    </row>
    <row r="27" spans="1:37" x14ac:dyDescent="0.4">
      <c r="A27" s="49" t="s">
        <v>123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</row>
    <row r="28" spans="1:37" x14ac:dyDescent="0.4">
      <c r="A28" s="51">
        <v>17</v>
      </c>
      <c r="B28" s="52" t="s">
        <v>96</v>
      </c>
      <c r="C28" s="53" t="s">
        <v>97</v>
      </c>
      <c r="D28" s="53" t="s">
        <v>98</v>
      </c>
      <c r="E28" s="38" t="s">
        <v>99</v>
      </c>
      <c r="F28" s="39" t="s">
        <v>56</v>
      </c>
      <c r="G28" s="37" t="s">
        <v>99</v>
      </c>
      <c r="H28" s="37" t="s">
        <v>99</v>
      </c>
      <c r="I28" s="37" t="s">
        <v>99</v>
      </c>
      <c r="J28" s="37" t="s">
        <v>99</v>
      </c>
      <c r="K28" s="37" t="s">
        <v>99</v>
      </c>
      <c r="L28" s="38" t="s">
        <v>99</v>
      </c>
      <c r="M28" s="39" t="s">
        <v>56</v>
      </c>
      <c r="N28" s="37" t="s">
        <v>99</v>
      </c>
      <c r="O28" s="37" t="s">
        <v>99</v>
      </c>
      <c r="P28" s="37" t="s">
        <v>99</v>
      </c>
      <c r="Q28" s="37" t="s">
        <v>99</v>
      </c>
      <c r="R28" s="37" t="s">
        <v>99</v>
      </c>
      <c r="S28" s="38" t="s">
        <v>99</v>
      </c>
      <c r="T28" s="39" t="s">
        <v>56</v>
      </c>
      <c r="U28" s="37" t="s">
        <v>99</v>
      </c>
      <c r="V28" s="37" t="s">
        <v>99</v>
      </c>
      <c r="W28" s="37" t="s">
        <v>99</v>
      </c>
      <c r="X28" s="37" t="s">
        <v>99</v>
      </c>
      <c r="Y28" s="37" t="s">
        <v>99</v>
      </c>
      <c r="Z28" s="38" t="s">
        <v>99</v>
      </c>
      <c r="AA28" s="39" t="s">
        <v>56</v>
      </c>
      <c r="AB28" s="62" t="s">
        <v>56</v>
      </c>
      <c r="AC28" s="37" t="s">
        <v>99</v>
      </c>
      <c r="AD28" s="37" t="s">
        <v>99</v>
      </c>
      <c r="AE28" s="37" t="s">
        <v>99</v>
      </c>
      <c r="AF28" s="37" t="s">
        <v>99</v>
      </c>
      <c r="AG28" s="38" t="s">
        <v>99</v>
      </c>
      <c r="AH28" s="39" t="s">
        <v>56</v>
      </c>
      <c r="AI28" s="63"/>
      <c r="AJ28" s="37">
        <f>COUNTA(E28:AH28)-COUNTIF(E28:AH28,"X")-COUNTIF(E28:AH28,"P")</f>
        <v>24</v>
      </c>
      <c r="AK28" s="37">
        <f>COUNTIF(E28:AH28,"X")+COUNTIF(E28:AH28,"P")</f>
        <v>6</v>
      </c>
    </row>
    <row r="29" spans="1:37" x14ac:dyDescent="0.4">
      <c r="A29" s="51">
        <v>18</v>
      </c>
      <c r="B29" s="52" t="s">
        <v>100</v>
      </c>
      <c r="C29" s="53" t="s">
        <v>97</v>
      </c>
      <c r="D29" s="53" t="s">
        <v>101</v>
      </c>
      <c r="E29" s="38" t="s">
        <v>99</v>
      </c>
      <c r="F29" s="39" t="s">
        <v>56</v>
      </c>
      <c r="G29" s="37" t="s">
        <v>99</v>
      </c>
      <c r="H29" s="37" t="s">
        <v>99</v>
      </c>
      <c r="I29" s="37" t="s">
        <v>99</v>
      </c>
      <c r="J29" s="37" t="s">
        <v>99</v>
      </c>
      <c r="K29" s="37" t="s">
        <v>99</v>
      </c>
      <c r="L29" s="38" t="s">
        <v>99</v>
      </c>
      <c r="M29" s="39" t="s">
        <v>56</v>
      </c>
      <c r="N29" s="37" t="s">
        <v>99</v>
      </c>
      <c r="O29" s="37" t="s">
        <v>99</v>
      </c>
      <c r="P29" s="37" t="s">
        <v>99</v>
      </c>
      <c r="Q29" s="37" t="s">
        <v>99</v>
      </c>
      <c r="R29" s="37" t="s">
        <v>99</v>
      </c>
      <c r="S29" s="38" t="s">
        <v>99</v>
      </c>
      <c r="T29" s="39" t="s">
        <v>56</v>
      </c>
      <c r="U29" s="37" t="s">
        <v>99</v>
      </c>
      <c r="V29" s="37" t="s">
        <v>99</v>
      </c>
      <c r="W29" s="37" t="s">
        <v>99</v>
      </c>
      <c r="X29" s="37" t="s">
        <v>99</v>
      </c>
      <c r="Y29" s="37" t="s">
        <v>99</v>
      </c>
      <c r="Z29" s="38" t="s">
        <v>99</v>
      </c>
      <c r="AA29" s="39" t="s">
        <v>56</v>
      </c>
      <c r="AB29" s="62" t="s">
        <v>56</v>
      </c>
      <c r="AC29" s="37" t="s">
        <v>99</v>
      </c>
      <c r="AD29" s="37" t="s">
        <v>99</v>
      </c>
      <c r="AE29" s="37" t="s">
        <v>99</v>
      </c>
      <c r="AF29" s="37" t="s">
        <v>99</v>
      </c>
      <c r="AG29" s="38" t="s">
        <v>99</v>
      </c>
      <c r="AH29" s="39" t="s">
        <v>56</v>
      </c>
      <c r="AI29" s="63"/>
      <c r="AJ29" s="37">
        <f>COUNTA(E29:AH29)-COUNTIF(E29:AH29,"X")-COUNTIF(E29:AH29,"P")</f>
        <v>24</v>
      </c>
      <c r="AK29" s="37">
        <f>COUNTIF(E29:AH29,"X")+COUNTIF(E29:AH29,"P")</f>
        <v>6</v>
      </c>
    </row>
    <row r="30" spans="1:37" x14ac:dyDescent="0.4">
      <c r="A30" s="51">
        <v>19</v>
      </c>
      <c r="B30" s="52" t="s">
        <v>102</v>
      </c>
      <c r="C30" s="53" t="s">
        <v>97</v>
      </c>
      <c r="D30" s="53" t="s">
        <v>103</v>
      </c>
      <c r="E30" s="38" t="s">
        <v>99</v>
      </c>
      <c r="F30" s="39" t="s">
        <v>56</v>
      </c>
      <c r="G30" s="37" t="s">
        <v>99</v>
      </c>
      <c r="H30" s="37" t="s">
        <v>99</v>
      </c>
      <c r="I30" s="37" t="s">
        <v>99</v>
      </c>
      <c r="J30" s="37" t="s">
        <v>99</v>
      </c>
      <c r="K30" s="37" t="s">
        <v>99</v>
      </c>
      <c r="L30" s="38" t="s">
        <v>99</v>
      </c>
      <c r="M30" s="39" t="s">
        <v>56</v>
      </c>
      <c r="N30" s="37" t="s">
        <v>99</v>
      </c>
      <c r="O30" s="37" t="s">
        <v>99</v>
      </c>
      <c r="P30" s="37" t="s">
        <v>99</v>
      </c>
      <c r="Q30" s="37" t="s">
        <v>99</v>
      </c>
      <c r="R30" s="37" t="s">
        <v>99</v>
      </c>
      <c r="S30" s="38" t="s">
        <v>99</v>
      </c>
      <c r="T30" s="39" t="s">
        <v>56</v>
      </c>
      <c r="U30" s="37" t="s">
        <v>99</v>
      </c>
      <c r="V30" s="37" t="s">
        <v>99</v>
      </c>
      <c r="W30" s="37" t="s">
        <v>99</v>
      </c>
      <c r="X30" s="37" t="s">
        <v>99</v>
      </c>
      <c r="Y30" s="37" t="s">
        <v>99</v>
      </c>
      <c r="Z30" s="38" t="s">
        <v>99</v>
      </c>
      <c r="AA30" s="39" t="s">
        <v>56</v>
      </c>
      <c r="AB30" s="62" t="s">
        <v>56</v>
      </c>
      <c r="AC30" s="37" t="s">
        <v>99</v>
      </c>
      <c r="AD30" s="37" t="s">
        <v>99</v>
      </c>
      <c r="AE30" s="37" t="s">
        <v>99</v>
      </c>
      <c r="AF30" s="37" t="s">
        <v>99</v>
      </c>
      <c r="AG30" s="38" t="s">
        <v>99</v>
      </c>
      <c r="AH30" s="39" t="s">
        <v>56</v>
      </c>
      <c r="AI30" s="63"/>
      <c r="AJ30" s="37">
        <f>COUNTA(E30:AH30)-COUNTIF(E30:AH30,"X")-COUNTIF(E30:AH30,"P")</f>
        <v>24</v>
      </c>
      <c r="AK30" s="37">
        <f>COUNTIF(E30:AH30,"X")+COUNTIF(E30:AH30,"P")</f>
        <v>6</v>
      </c>
    </row>
    <row r="31" spans="1:37" x14ac:dyDescent="0.4">
      <c r="A31" s="51">
        <v>20</v>
      </c>
      <c r="B31" s="52" t="s">
        <v>104</v>
      </c>
      <c r="C31" s="53" t="s">
        <v>97</v>
      </c>
      <c r="D31" s="53" t="s">
        <v>105</v>
      </c>
      <c r="E31" s="38" t="s">
        <v>106</v>
      </c>
      <c r="F31" s="37" t="s">
        <v>106</v>
      </c>
      <c r="G31" s="37" t="s">
        <v>99</v>
      </c>
      <c r="H31" s="37" t="s">
        <v>99</v>
      </c>
      <c r="I31" s="37" t="s">
        <v>99</v>
      </c>
      <c r="J31" s="37" t="s">
        <v>99</v>
      </c>
      <c r="K31" s="37" t="s">
        <v>99</v>
      </c>
      <c r="L31" s="38" t="s">
        <v>106</v>
      </c>
      <c r="M31" s="37" t="s">
        <v>106</v>
      </c>
      <c r="N31" s="37" t="s">
        <v>99</v>
      </c>
      <c r="O31" s="37" t="s">
        <v>99</v>
      </c>
      <c r="P31" s="37" t="s">
        <v>99</v>
      </c>
      <c r="Q31" s="37" t="s">
        <v>99</v>
      </c>
      <c r="R31" s="37" t="s">
        <v>99</v>
      </c>
      <c r="S31" s="38" t="s">
        <v>106</v>
      </c>
      <c r="T31" s="37" t="s">
        <v>106</v>
      </c>
      <c r="U31" s="37" t="s">
        <v>99</v>
      </c>
      <c r="V31" s="37" t="s">
        <v>99</v>
      </c>
      <c r="W31" s="37" t="s">
        <v>99</v>
      </c>
      <c r="X31" s="37" t="s">
        <v>99</v>
      </c>
      <c r="Y31" s="37" t="s">
        <v>99</v>
      </c>
      <c r="Z31" s="38" t="s">
        <v>106</v>
      </c>
      <c r="AA31" s="37" t="s">
        <v>106</v>
      </c>
      <c r="AB31" s="62" t="s">
        <v>56</v>
      </c>
      <c r="AC31" s="37" t="s">
        <v>99</v>
      </c>
      <c r="AD31" s="37" t="s">
        <v>99</v>
      </c>
      <c r="AE31" s="37" t="s">
        <v>99</v>
      </c>
      <c r="AF31" s="37" t="s">
        <v>99</v>
      </c>
      <c r="AG31" s="38" t="s">
        <v>106</v>
      </c>
      <c r="AH31" s="37" t="s">
        <v>106</v>
      </c>
      <c r="AI31" s="63"/>
      <c r="AJ31" s="37">
        <f>COUNTA(E31:AH31)-COUNTIF(E31:AH31,"X")-COUNTIF(E31:AH31,"P")</f>
        <v>29</v>
      </c>
      <c r="AK31" s="37">
        <f>COUNTIF(E31:AH31,"X")+COUNTIF(E31:AH31,"P")</f>
        <v>1</v>
      </c>
    </row>
    <row r="32" spans="1:37" x14ac:dyDescent="0.4">
      <c r="A32" s="54" t="s">
        <v>124</v>
      </c>
      <c r="B32" s="55"/>
      <c r="C32" s="55"/>
      <c r="D32" s="55"/>
      <c r="E32" s="55">
        <f t="shared" ref="E32:AH32" si="6">COUNTA(E28:E31)-COUNTIF(E28:E31,"X")-COUNTIF(E28:E31,"P")</f>
        <v>4</v>
      </c>
      <c r="F32" s="55">
        <f t="shared" si="6"/>
        <v>1</v>
      </c>
      <c r="G32" s="55">
        <f t="shared" si="6"/>
        <v>4</v>
      </c>
      <c r="H32" s="55">
        <f t="shared" si="6"/>
        <v>4</v>
      </c>
      <c r="I32" s="55">
        <f t="shared" si="6"/>
        <v>4</v>
      </c>
      <c r="J32" s="55">
        <f t="shared" si="6"/>
        <v>4</v>
      </c>
      <c r="K32" s="55">
        <f t="shared" si="6"/>
        <v>4</v>
      </c>
      <c r="L32" s="55">
        <f t="shared" si="6"/>
        <v>4</v>
      </c>
      <c r="M32" s="55">
        <f t="shared" si="6"/>
        <v>1</v>
      </c>
      <c r="N32" s="55">
        <f t="shared" si="6"/>
        <v>4</v>
      </c>
      <c r="O32" s="55">
        <f t="shared" si="6"/>
        <v>4</v>
      </c>
      <c r="P32" s="55">
        <f t="shared" si="6"/>
        <v>4</v>
      </c>
      <c r="Q32" s="55">
        <f t="shared" si="6"/>
        <v>4</v>
      </c>
      <c r="R32" s="55">
        <f t="shared" si="6"/>
        <v>4</v>
      </c>
      <c r="S32" s="55">
        <f t="shared" si="6"/>
        <v>4</v>
      </c>
      <c r="T32" s="55">
        <f t="shared" si="6"/>
        <v>1</v>
      </c>
      <c r="U32" s="55">
        <f t="shared" si="6"/>
        <v>4</v>
      </c>
      <c r="V32" s="55">
        <f t="shared" si="6"/>
        <v>4</v>
      </c>
      <c r="W32" s="55">
        <f t="shared" si="6"/>
        <v>4</v>
      </c>
      <c r="X32" s="55">
        <f t="shared" si="6"/>
        <v>4</v>
      </c>
      <c r="Y32" s="55">
        <f t="shared" si="6"/>
        <v>4</v>
      </c>
      <c r="Z32" s="55">
        <f t="shared" si="6"/>
        <v>4</v>
      </c>
      <c r="AA32" s="55">
        <f t="shared" si="6"/>
        <v>1</v>
      </c>
      <c r="AB32" s="55">
        <f t="shared" si="6"/>
        <v>0</v>
      </c>
      <c r="AC32" s="55">
        <f t="shared" si="6"/>
        <v>4</v>
      </c>
      <c r="AD32" s="55">
        <f t="shared" si="6"/>
        <v>4</v>
      </c>
      <c r="AE32" s="55">
        <f t="shared" si="6"/>
        <v>4</v>
      </c>
      <c r="AF32" s="55">
        <f t="shared" si="6"/>
        <v>4</v>
      </c>
      <c r="AG32" s="55">
        <f t="shared" si="6"/>
        <v>4</v>
      </c>
      <c r="AH32" s="55">
        <f t="shared" si="6"/>
        <v>1</v>
      </c>
      <c r="AI32" s="55"/>
      <c r="AJ32" s="55">
        <f>SUM(AJ28:AJ31)</f>
        <v>101</v>
      </c>
      <c r="AK32" s="55">
        <f>SUM(AK28:AK31)</f>
        <v>19</v>
      </c>
    </row>
    <row r="34" spans="1:4" x14ac:dyDescent="0.4">
      <c r="A34" s="56" t="s">
        <v>125</v>
      </c>
    </row>
    <row r="35" spans="1:4" x14ac:dyDescent="0.4">
      <c r="A35" s="57" t="s">
        <v>58</v>
      </c>
      <c r="B35" s="58" t="s">
        <v>126</v>
      </c>
      <c r="D35" s="59" t="s">
        <v>127</v>
      </c>
    </row>
    <row r="36" spans="1:4" x14ac:dyDescent="0.4">
      <c r="A36" s="57" t="s">
        <v>62</v>
      </c>
      <c r="B36" s="58" t="s">
        <v>128</v>
      </c>
      <c r="D36" s="59" t="s">
        <v>129</v>
      </c>
    </row>
    <row r="37" spans="1:4" x14ac:dyDescent="0.4">
      <c r="A37" s="57" t="s">
        <v>59</v>
      </c>
      <c r="B37" s="58" t="s">
        <v>130</v>
      </c>
      <c r="D37" s="59" t="s">
        <v>131</v>
      </c>
    </row>
    <row r="38" spans="1:4" x14ac:dyDescent="0.4">
      <c r="A38" s="57" t="s">
        <v>86</v>
      </c>
      <c r="B38" s="58" t="s">
        <v>132</v>
      </c>
      <c r="D38" s="59" t="s">
        <v>133</v>
      </c>
    </row>
    <row r="39" spans="1:4" x14ac:dyDescent="0.4">
      <c r="A39" s="57" t="s">
        <v>83</v>
      </c>
      <c r="B39" s="58" t="s">
        <v>134</v>
      </c>
      <c r="D39" s="59"/>
    </row>
    <row r="40" spans="1:4" x14ac:dyDescent="0.4">
      <c r="A40" s="57" t="s">
        <v>57</v>
      </c>
      <c r="B40" s="58" t="s">
        <v>135</v>
      </c>
      <c r="D40" s="59"/>
    </row>
    <row r="41" spans="1:4" x14ac:dyDescent="0.4">
      <c r="A41" s="57" t="s">
        <v>99</v>
      </c>
      <c r="B41" s="58" t="s">
        <v>136</v>
      </c>
      <c r="D41" s="59" t="s">
        <v>137</v>
      </c>
    </row>
    <row r="42" spans="1:4" x14ac:dyDescent="0.4">
      <c r="A42" s="57" t="s">
        <v>138</v>
      </c>
      <c r="B42" s="58" t="s">
        <v>139</v>
      </c>
      <c r="D42" s="59" t="s">
        <v>137</v>
      </c>
    </row>
    <row r="43" spans="1:4" x14ac:dyDescent="0.4">
      <c r="A43" s="57" t="s">
        <v>140</v>
      </c>
      <c r="B43" s="58" t="s">
        <v>141</v>
      </c>
      <c r="D43" s="59" t="s">
        <v>137</v>
      </c>
    </row>
    <row r="44" spans="1:4" x14ac:dyDescent="0.4">
      <c r="A44" s="57" t="s">
        <v>142</v>
      </c>
      <c r="B44" s="58" t="s">
        <v>143</v>
      </c>
      <c r="D44" s="59" t="s">
        <v>137</v>
      </c>
    </row>
    <row r="45" spans="1:4" x14ac:dyDescent="0.4">
      <c r="A45" s="57" t="s">
        <v>68</v>
      </c>
      <c r="B45" s="58" t="s">
        <v>144</v>
      </c>
      <c r="D45" s="59" t="s">
        <v>145</v>
      </c>
    </row>
    <row r="46" spans="1:4" x14ac:dyDescent="0.4">
      <c r="A46" s="57" t="s">
        <v>74</v>
      </c>
      <c r="B46" s="58" t="s">
        <v>146</v>
      </c>
      <c r="D46" s="59" t="s">
        <v>147</v>
      </c>
    </row>
    <row r="47" spans="1:4" x14ac:dyDescent="0.4">
      <c r="A47" s="57" t="s">
        <v>70</v>
      </c>
      <c r="B47" s="58" t="s">
        <v>148</v>
      </c>
      <c r="D47" s="59" t="s">
        <v>149</v>
      </c>
    </row>
    <row r="48" spans="1:4" x14ac:dyDescent="0.4">
      <c r="A48" s="57" t="s">
        <v>71</v>
      </c>
      <c r="B48" s="58" t="s">
        <v>150</v>
      </c>
      <c r="D48" s="59" t="s">
        <v>151</v>
      </c>
    </row>
    <row r="49" spans="1:4" x14ac:dyDescent="0.4">
      <c r="A49" s="57" t="s">
        <v>89</v>
      </c>
      <c r="B49" s="58" t="s">
        <v>152</v>
      </c>
      <c r="D49" s="59" t="s">
        <v>153</v>
      </c>
    </row>
    <row r="50" spans="1:4" x14ac:dyDescent="0.4">
      <c r="A50" s="57" t="s">
        <v>67</v>
      </c>
      <c r="B50" s="58" t="s">
        <v>154</v>
      </c>
      <c r="D50" s="59" t="s">
        <v>155</v>
      </c>
    </row>
    <row r="51" spans="1:4" x14ac:dyDescent="0.4">
      <c r="A51" s="57" t="s">
        <v>156</v>
      </c>
      <c r="B51" s="58" t="s">
        <v>157</v>
      </c>
      <c r="D51" s="59" t="s">
        <v>158</v>
      </c>
    </row>
    <row r="52" spans="1:4" x14ac:dyDescent="0.4">
      <c r="A52" s="57" t="s">
        <v>106</v>
      </c>
      <c r="B52" s="58" t="s">
        <v>159</v>
      </c>
      <c r="D52" s="59"/>
    </row>
    <row r="53" spans="1:4" x14ac:dyDescent="0.4">
      <c r="A53" s="57" t="s">
        <v>160</v>
      </c>
      <c r="B53" s="58" t="s">
        <v>161</v>
      </c>
      <c r="D53" s="59" t="s">
        <v>137</v>
      </c>
    </row>
    <row r="54" spans="1:4" x14ac:dyDescent="0.4">
      <c r="A54" s="57" t="s">
        <v>56</v>
      </c>
      <c r="B54" s="58" t="s">
        <v>162</v>
      </c>
      <c r="D54" s="59"/>
    </row>
    <row r="55" spans="1:4" x14ac:dyDescent="0.4">
      <c r="A55" s="57" t="s">
        <v>163</v>
      </c>
      <c r="B55" s="58" t="s">
        <v>164</v>
      </c>
      <c r="D55" s="59"/>
    </row>
  </sheetData>
  <dataValidations count="1">
    <dataValidation type="list" allowBlank="1" sqref="E5:AI33" xr:uid="{00000000-0002-0000-0500-000000000000}">
      <formula1>"CG,CS,CCT,CGD,D1,D2,HC,12,21,2C,S,C,T,SC,ST,CT,SCT,LD,NG,X,P"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55"/>
  <sheetViews>
    <sheetView workbookViewId="0">
      <pane xSplit="4" ySplit="4" topLeftCell="E35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4" customWidth="1"/>
    <col min="2" max="2" width="16" customWidth="1"/>
    <col min="3" max="3" width="10" customWidth="1"/>
    <col min="4" max="4" width="12" customWidth="1"/>
    <col min="5" max="35" width="4.3828125" customWidth="1"/>
    <col min="36" max="37" width="10" customWidth="1"/>
  </cols>
  <sheetData>
    <row r="1" spans="1:37" ht="16.3" x14ac:dyDescent="0.4">
      <c r="A1" s="23" t="s">
        <v>112</v>
      </c>
    </row>
    <row r="2" spans="1:37" x14ac:dyDescent="0.4">
      <c r="A2" s="24" t="s">
        <v>113</v>
      </c>
      <c r="B2" s="25">
        <v>12</v>
      </c>
      <c r="C2" s="24" t="s">
        <v>114</v>
      </c>
      <c r="D2" s="25">
        <v>2026</v>
      </c>
      <c r="E2" s="26" t="s">
        <v>115</v>
      </c>
    </row>
    <row r="3" spans="1:37" x14ac:dyDescent="0.4">
      <c r="A3" s="9" t="s">
        <v>40</v>
      </c>
      <c r="B3" s="9" t="s">
        <v>116</v>
      </c>
      <c r="C3" s="9" t="s">
        <v>43</v>
      </c>
      <c r="D3" s="9" t="s">
        <v>44</v>
      </c>
      <c r="E3" s="27">
        <v>1</v>
      </c>
      <c r="F3" s="27">
        <v>2</v>
      </c>
      <c r="G3" s="27">
        <v>3</v>
      </c>
      <c r="H3" s="27">
        <v>4</v>
      </c>
      <c r="I3" s="27">
        <v>5</v>
      </c>
      <c r="J3" s="27">
        <v>6</v>
      </c>
      <c r="K3" s="27">
        <v>7</v>
      </c>
      <c r="L3" s="27">
        <v>8</v>
      </c>
      <c r="M3" s="27">
        <v>9</v>
      </c>
      <c r="N3" s="27">
        <v>10</v>
      </c>
      <c r="O3" s="27">
        <v>11</v>
      </c>
      <c r="P3" s="27">
        <v>12</v>
      </c>
      <c r="Q3" s="27">
        <v>13</v>
      </c>
      <c r="R3" s="27">
        <v>14</v>
      </c>
      <c r="S3" s="27">
        <v>15</v>
      </c>
      <c r="T3" s="27">
        <v>16</v>
      </c>
      <c r="U3" s="27">
        <v>17</v>
      </c>
      <c r="V3" s="27">
        <v>18</v>
      </c>
      <c r="W3" s="27">
        <v>19</v>
      </c>
      <c r="X3" s="27">
        <v>20</v>
      </c>
      <c r="Y3" s="27">
        <v>21</v>
      </c>
      <c r="Z3" s="27">
        <v>22</v>
      </c>
      <c r="AA3" s="27">
        <v>23</v>
      </c>
      <c r="AB3" s="27">
        <v>24</v>
      </c>
      <c r="AC3" s="27">
        <v>25</v>
      </c>
      <c r="AD3" s="27">
        <v>26</v>
      </c>
      <c r="AE3" s="27">
        <v>27</v>
      </c>
      <c r="AF3" s="27">
        <v>28</v>
      </c>
      <c r="AG3" s="27">
        <v>29</v>
      </c>
      <c r="AH3" s="27">
        <v>30</v>
      </c>
      <c r="AI3" s="27">
        <v>31</v>
      </c>
      <c r="AJ3" s="27" t="s">
        <v>117</v>
      </c>
      <c r="AK3" s="27" t="s">
        <v>118</v>
      </c>
    </row>
    <row r="4" spans="1:37" x14ac:dyDescent="0.4">
      <c r="A4" s="28"/>
      <c r="B4" s="28"/>
      <c r="C4" s="28"/>
      <c r="D4" s="28"/>
      <c r="E4" s="29" t="s">
        <v>47</v>
      </c>
      <c r="F4" s="29" t="s">
        <v>48</v>
      </c>
      <c r="G4" s="29" t="s">
        <v>49</v>
      </c>
      <c r="H4" s="29" t="s">
        <v>50</v>
      </c>
      <c r="I4" s="29" t="s">
        <v>51</v>
      </c>
      <c r="J4" s="30" t="s">
        <v>52</v>
      </c>
      <c r="K4" s="29" t="s">
        <v>46</v>
      </c>
      <c r="L4" s="29" t="s">
        <v>47</v>
      </c>
      <c r="M4" s="29" t="s">
        <v>48</v>
      </c>
      <c r="N4" s="29" t="s">
        <v>49</v>
      </c>
      <c r="O4" s="29" t="s">
        <v>50</v>
      </c>
      <c r="P4" s="29" t="s">
        <v>51</v>
      </c>
      <c r="Q4" s="30" t="s">
        <v>52</v>
      </c>
      <c r="R4" s="29" t="s">
        <v>46</v>
      </c>
      <c r="S4" s="29" t="s">
        <v>47</v>
      </c>
      <c r="T4" s="29" t="s">
        <v>48</v>
      </c>
      <c r="U4" s="29" t="s">
        <v>49</v>
      </c>
      <c r="V4" s="29" t="s">
        <v>50</v>
      </c>
      <c r="W4" s="29" t="s">
        <v>51</v>
      </c>
      <c r="X4" s="30" t="s">
        <v>52</v>
      </c>
      <c r="Y4" s="29" t="s">
        <v>46</v>
      </c>
      <c r="Z4" s="29" t="s">
        <v>47</v>
      </c>
      <c r="AA4" s="29" t="s">
        <v>48</v>
      </c>
      <c r="AB4" s="29" t="s">
        <v>49</v>
      </c>
      <c r="AC4" s="29" t="s">
        <v>50</v>
      </c>
      <c r="AD4" s="29" t="s">
        <v>51</v>
      </c>
      <c r="AE4" s="30" t="s">
        <v>52</v>
      </c>
      <c r="AF4" s="29" t="s">
        <v>46</v>
      </c>
      <c r="AG4" s="29" t="s">
        <v>47</v>
      </c>
      <c r="AH4" s="29" t="s">
        <v>48</v>
      </c>
      <c r="AI4" s="29" t="s">
        <v>49</v>
      </c>
      <c r="AJ4" s="28"/>
      <c r="AK4" s="28"/>
    </row>
    <row r="5" spans="1:37" x14ac:dyDescent="0.4">
      <c r="A5" s="31" t="s">
        <v>119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 spans="1:37" x14ac:dyDescent="0.4">
      <c r="A6" s="33">
        <v>1</v>
      </c>
      <c r="B6" s="34" t="s">
        <v>53</v>
      </c>
      <c r="C6" s="35" t="s">
        <v>54</v>
      </c>
      <c r="D6" s="35" t="s">
        <v>55</v>
      </c>
      <c r="E6" s="37" t="s">
        <v>57</v>
      </c>
      <c r="F6" s="37" t="s">
        <v>58</v>
      </c>
      <c r="G6" s="37" t="s">
        <v>57</v>
      </c>
      <c r="H6" s="37" t="s">
        <v>58</v>
      </c>
      <c r="I6" s="37" t="s">
        <v>57</v>
      </c>
      <c r="J6" s="38" t="s">
        <v>59</v>
      </c>
      <c r="K6" s="39" t="s">
        <v>56</v>
      </c>
      <c r="L6" s="37" t="s">
        <v>57</v>
      </c>
      <c r="M6" s="37" t="s">
        <v>58</v>
      </c>
      <c r="N6" s="37" t="s">
        <v>57</v>
      </c>
      <c r="O6" s="37" t="s">
        <v>58</v>
      </c>
      <c r="P6" s="37" t="s">
        <v>57</v>
      </c>
      <c r="Q6" s="38" t="s">
        <v>59</v>
      </c>
      <c r="R6" s="39" t="s">
        <v>56</v>
      </c>
      <c r="S6" s="37" t="s">
        <v>57</v>
      </c>
      <c r="T6" s="37" t="s">
        <v>58</v>
      </c>
      <c r="U6" s="37" t="s">
        <v>57</v>
      </c>
      <c r="V6" s="37" t="s">
        <v>58</v>
      </c>
      <c r="W6" s="37" t="s">
        <v>57</v>
      </c>
      <c r="X6" s="38" t="s">
        <v>59</v>
      </c>
      <c r="Y6" s="39" t="s">
        <v>56</v>
      </c>
      <c r="Z6" s="37" t="s">
        <v>57</v>
      </c>
      <c r="AA6" s="37" t="s">
        <v>58</v>
      </c>
      <c r="AB6" s="37" t="s">
        <v>57</v>
      </c>
      <c r="AC6" s="37" t="s">
        <v>58</v>
      </c>
      <c r="AD6" s="37" t="s">
        <v>57</v>
      </c>
      <c r="AE6" s="38" t="s">
        <v>59</v>
      </c>
      <c r="AF6" s="39" t="s">
        <v>56</v>
      </c>
      <c r="AG6" s="37" t="s">
        <v>57</v>
      </c>
      <c r="AH6" s="37" t="s">
        <v>58</v>
      </c>
      <c r="AI6" s="37" t="s">
        <v>57</v>
      </c>
      <c r="AJ6" s="37">
        <f t="shared" ref="AJ6:AJ14" si="0">COUNTA(E6:AI6)-COUNTIF(E6:AI6,"X")-COUNTIF(E6:AI6,"P")</f>
        <v>27</v>
      </c>
      <c r="AK6" s="37">
        <f t="shared" ref="AK6:AK14" si="1">COUNTIF(E6:AI6,"X")+COUNTIF(E6:AI6,"P")</f>
        <v>4</v>
      </c>
    </row>
    <row r="7" spans="1:37" x14ac:dyDescent="0.4">
      <c r="A7" s="33">
        <v>2</v>
      </c>
      <c r="B7" s="34" t="s">
        <v>60</v>
      </c>
      <c r="C7" s="35" t="s">
        <v>54</v>
      </c>
      <c r="D7" s="35" t="s">
        <v>61</v>
      </c>
      <c r="E7" s="37" t="s">
        <v>58</v>
      </c>
      <c r="F7" s="37" t="s">
        <v>62</v>
      </c>
      <c r="G7" s="37" t="s">
        <v>58</v>
      </c>
      <c r="H7" s="37" t="s">
        <v>62</v>
      </c>
      <c r="I7" s="37" t="s">
        <v>59</v>
      </c>
      <c r="J7" s="38" t="s">
        <v>59</v>
      </c>
      <c r="K7" s="39" t="s">
        <v>56</v>
      </c>
      <c r="L7" s="37" t="s">
        <v>58</v>
      </c>
      <c r="M7" s="37" t="s">
        <v>62</v>
      </c>
      <c r="N7" s="37" t="s">
        <v>58</v>
      </c>
      <c r="O7" s="37" t="s">
        <v>62</v>
      </c>
      <c r="P7" s="37" t="s">
        <v>59</v>
      </c>
      <c r="Q7" s="38" t="s">
        <v>59</v>
      </c>
      <c r="R7" s="39" t="s">
        <v>56</v>
      </c>
      <c r="S7" s="37" t="s">
        <v>58</v>
      </c>
      <c r="T7" s="37" t="s">
        <v>62</v>
      </c>
      <c r="U7" s="37" t="s">
        <v>58</v>
      </c>
      <c r="V7" s="37" t="s">
        <v>62</v>
      </c>
      <c r="W7" s="37" t="s">
        <v>59</v>
      </c>
      <c r="X7" s="38" t="s">
        <v>59</v>
      </c>
      <c r="Y7" s="39" t="s">
        <v>56</v>
      </c>
      <c r="Z7" s="37" t="s">
        <v>58</v>
      </c>
      <c r="AA7" s="37" t="s">
        <v>62</v>
      </c>
      <c r="AB7" s="37" t="s">
        <v>58</v>
      </c>
      <c r="AC7" s="37" t="s">
        <v>62</v>
      </c>
      <c r="AD7" s="37" t="s">
        <v>59</v>
      </c>
      <c r="AE7" s="38" t="s">
        <v>59</v>
      </c>
      <c r="AF7" s="39" t="s">
        <v>56</v>
      </c>
      <c r="AG7" s="37" t="s">
        <v>58</v>
      </c>
      <c r="AH7" s="37" t="s">
        <v>62</v>
      </c>
      <c r="AI7" s="37" t="s">
        <v>58</v>
      </c>
      <c r="AJ7" s="37">
        <f t="shared" si="0"/>
        <v>27</v>
      </c>
      <c r="AK7" s="37">
        <f t="shared" si="1"/>
        <v>4</v>
      </c>
    </row>
    <row r="8" spans="1:37" x14ac:dyDescent="0.4">
      <c r="A8" s="33">
        <v>3</v>
      </c>
      <c r="B8" s="34" t="s">
        <v>63</v>
      </c>
      <c r="C8" s="35" t="s">
        <v>54</v>
      </c>
      <c r="D8" s="35" t="s">
        <v>61</v>
      </c>
      <c r="E8" s="37" t="s">
        <v>62</v>
      </c>
      <c r="F8" s="37" t="s">
        <v>58</v>
      </c>
      <c r="G8" s="37" t="s">
        <v>62</v>
      </c>
      <c r="H8" s="37" t="s">
        <v>58</v>
      </c>
      <c r="I8" s="37" t="s">
        <v>59</v>
      </c>
      <c r="J8" s="38" t="s">
        <v>59</v>
      </c>
      <c r="K8" s="39" t="s">
        <v>56</v>
      </c>
      <c r="L8" s="37" t="s">
        <v>62</v>
      </c>
      <c r="M8" s="37" t="s">
        <v>58</v>
      </c>
      <c r="N8" s="37" t="s">
        <v>62</v>
      </c>
      <c r="O8" s="37" t="s">
        <v>58</v>
      </c>
      <c r="P8" s="37" t="s">
        <v>59</v>
      </c>
      <c r="Q8" s="38" t="s">
        <v>59</v>
      </c>
      <c r="R8" s="39" t="s">
        <v>56</v>
      </c>
      <c r="S8" s="37" t="s">
        <v>62</v>
      </c>
      <c r="T8" s="37" t="s">
        <v>58</v>
      </c>
      <c r="U8" s="37" t="s">
        <v>62</v>
      </c>
      <c r="V8" s="37" t="s">
        <v>58</v>
      </c>
      <c r="W8" s="37" t="s">
        <v>59</v>
      </c>
      <c r="X8" s="38" t="s">
        <v>59</v>
      </c>
      <c r="Y8" s="39" t="s">
        <v>56</v>
      </c>
      <c r="Z8" s="37" t="s">
        <v>62</v>
      </c>
      <c r="AA8" s="37" t="s">
        <v>58</v>
      </c>
      <c r="AB8" s="37" t="s">
        <v>62</v>
      </c>
      <c r="AC8" s="37" t="s">
        <v>58</v>
      </c>
      <c r="AD8" s="37" t="s">
        <v>59</v>
      </c>
      <c r="AE8" s="38" t="s">
        <v>59</v>
      </c>
      <c r="AF8" s="39" t="s">
        <v>56</v>
      </c>
      <c r="AG8" s="37" t="s">
        <v>62</v>
      </c>
      <c r="AH8" s="37" t="s">
        <v>58</v>
      </c>
      <c r="AI8" s="37" t="s">
        <v>62</v>
      </c>
      <c r="AJ8" s="37">
        <f t="shared" si="0"/>
        <v>27</v>
      </c>
      <c r="AK8" s="37">
        <f t="shared" si="1"/>
        <v>4</v>
      </c>
    </row>
    <row r="9" spans="1:37" x14ac:dyDescent="0.4">
      <c r="A9" s="33">
        <v>4</v>
      </c>
      <c r="B9" s="34" t="s">
        <v>64</v>
      </c>
      <c r="C9" s="35" t="s">
        <v>54</v>
      </c>
      <c r="D9" s="35" t="s">
        <v>66</v>
      </c>
      <c r="E9" s="37" t="s">
        <v>67</v>
      </c>
      <c r="F9" s="37" t="s">
        <v>68</v>
      </c>
      <c r="G9" s="37"/>
      <c r="H9" s="37" t="s">
        <v>70</v>
      </c>
      <c r="I9" s="37" t="s">
        <v>71</v>
      </c>
      <c r="J9" s="38"/>
      <c r="K9" s="39" t="s">
        <v>56</v>
      </c>
      <c r="L9" s="37" t="s">
        <v>67</v>
      </c>
      <c r="M9" s="37" t="s">
        <v>68</v>
      </c>
      <c r="N9" s="37"/>
      <c r="O9" s="37" t="s">
        <v>70</v>
      </c>
      <c r="P9" s="37" t="s">
        <v>71</v>
      </c>
      <c r="Q9" s="38"/>
      <c r="R9" s="39" t="s">
        <v>56</v>
      </c>
      <c r="S9" s="37" t="s">
        <v>67</v>
      </c>
      <c r="T9" s="37" t="s">
        <v>68</v>
      </c>
      <c r="U9" s="37"/>
      <c r="V9" s="37" t="s">
        <v>70</v>
      </c>
      <c r="W9" s="37" t="s">
        <v>71</v>
      </c>
      <c r="X9" s="38"/>
      <c r="Y9" s="39" t="s">
        <v>56</v>
      </c>
      <c r="Z9" s="37" t="s">
        <v>67</v>
      </c>
      <c r="AA9" s="37" t="s">
        <v>68</v>
      </c>
      <c r="AB9" s="37"/>
      <c r="AC9" s="37" t="s">
        <v>70</v>
      </c>
      <c r="AD9" s="37" t="s">
        <v>71</v>
      </c>
      <c r="AE9" s="38"/>
      <c r="AF9" s="39" t="s">
        <v>56</v>
      </c>
      <c r="AG9" s="37" t="s">
        <v>67</v>
      </c>
      <c r="AH9" s="37" t="s">
        <v>68</v>
      </c>
      <c r="AI9" s="37"/>
      <c r="AJ9" s="37">
        <f t="shared" si="0"/>
        <v>18</v>
      </c>
      <c r="AK9" s="37">
        <f t="shared" si="1"/>
        <v>4</v>
      </c>
    </row>
    <row r="10" spans="1:37" x14ac:dyDescent="0.4">
      <c r="A10" s="33">
        <v>5</v>
      </c>
      <c r="B10" s="34" t="s">
        <v>72</v>
      </c>
      <c r="C10" s="35" t="s">
        <v>54</v>
      </c>
      <c r="D10" s="35" t="s">
        <v>66</v>
      </c>
      <c r="E10" s="37" t="s">
        <v>71</v>
      </c>
      <c r="F10" s="37" t="s">
        <v>70</v>
      </c>
      <c r="G10" s="37"/>
      <c r="H10" s="37"/>
      <c r="I10" s="37" t="s">
        <v>74</v>
      </c>
      <c r="J10" s="38" t="s">
        <v>71</v>
      </c>
      <c r="K10" s="39" t="s">
        <v>56</v>
      </c>
      <c r="L10" s="37" t="s">
        <v>71</v>
      </c>
      <c r="M10" s="37" t="s">
        <v>70</v>
      </c>
      <c r="N10" s="37"/>
      <c r="O10" s="37"/>
      <c r="P10" s="37" t="s">
        <v>74</v>
      </c>
      <c r="Q10" s="38" t="s">
        <v>71</v>
      </c>
      <c r="R10" s="39" t="s">
        <v>56</v>
      </c>
      <c r="S10" s="37" t="s">
        <v>71</v>
      </c>
      <c r="T10" s="37" t="s">
        <v>70</v>
      </c>
      <c r="U10" s="37"/>
      <c r="V10" s="37"/>
      <c r="W10" s="37" t="s">
        <v>74</v>
      </c>
      <c r="X10" s="38" t="s">
        <v>71</v>
      </c>
      <c r="Y10" s="39" t="s">
        <v>56</v>
      </c>
      <c r="Z10" s="37" t="s">
        <v>71</v>
      </c>
      <c r="AA10" s="37" t="s">
        <v>70</v>
      </c>
      <c r="AB10" s="37"/>
      <c r="AC10" s="37"/>
      <c r="AD10" s="37" t="s">
        <v>74</v>
      </c>
      <c r="AE10" s="38" t="s">
        <v>71</v>
      </c>
      <c r="AF10" s="39" t="s">
        <v>56</v>
      </c>
      <c r="AG10" s="37" t="s">
        <v>71</v>
      </c>
      <c r="AH10" s="37" t="s">
        <v>70</v>
      </c>
      <c r="AI10" s="37"/>
      <c r="AJ10" s="37">
        <f t="shared" si="0"/>
        <v>18</v>
      </c>
      <c r="AK10" s="37">
        <f t="shared" si="1"/>
        <v>4</v>
      </c>
    </row>
    <row r="11" spans="1:37" x14ac:dyDescent="0.4">
      <c r="A11" s="33">
        <v>6</v>
      </c>
      <c r="B11" s="34" t="s">
        <v>75</v>
      </c>
      <c r="C11" s="35" t="s">
        <v>54</v>
      </c>
      <c r="D11" s="35" t="s">
        <v>66</v>
      </c>
      <c r="E11" s="37" t="s">
        <v>71</v>
      </c>
      <c r="F11" s="37" t="s">
        <v>67</v>
      </c>
      <c r="G11" s="37" t="s">
        <v>71</v>
      </c>
      <c r="H11" s="37"/>
      <c r="I11" s="37"/>
      <c r="J11" s="38"/>
      <c r="K11" s="39" t="s">
        <v>56</v>
      </c>
      <c r="L11" s="37" t="s">
        <v>71</v>
      </c>
      <c r="M11" s="37" t="s">
        <v>67</v>
      </c>
      <c r="N11" s="37" t="s">
        <v>71</v>
      </c>
      <c r="O11" s="37"/>
      <c r="P11" s="37"/>
      <c r="Q11" s="38"/>
      <c r="R11" s="39" t="s">
        <v>56</v>
      </c>
      <c r="S11" s="37" t="s">
        <v>71</v>
      </c>
      <c r="T11" s="37" t="s">
        <v>67</v>
      </c>
      <c r="U11" s="37" t="s">
        <v>71</v>
      </c>
      <c r="V11" s="37"/>
      <c r="W11" s="37"/>
      <c r="X11" s="38"/>
      <c r="Y11" s="39" t="s">
        <v>56</v>
      </c>
      <c r="Z11" s="37" t="s">
        <v>71</v>
      </c>
      <c r="AA11" s="37" t="s">
        <v>67</v>
      </c>
      <c r="AB11" s="37" t="s">
        <v>71</v>
      </c>
      <c r="AC11" s="37"/>
      <c r="AD11" s="37"/>
      <c r="AE11" s="38"/>
      <c r="AF11" s="39" t="s">
        <v>56</v>
      </c>
      <c r="AG11" s="37" t="s">
        <v>71</v>
      </c>
      <c r="AH11" s="37" t="s">
        <v>67</v>
      </c>
      <c r="AI11" s="37" t="s">
        <v>71</v>
      </c>
      <c r="AJ11" s="37">
        <f t="shared" si="0"/>
        <v>15</v>
      </c>
      <c r="AK11" s="37">
        <f t="shared" si="1"/>
        <v>4</v>
      </c>
    </row>
    <row r="12" spans="1:37" x14ac:dyDescent="0.4">
      <c r="A12" s="33">
        <v>7</v>
      </c>
      <c r="B12" s="34" t="s">
        <v>77</v>
      </c>
      <c r="C12" s="35" t="s">
        <v>54</v>
      </c>
      <c r="D12" s="35" t="s">
        <v>66</v>
      </c>
      <c r="E12" s="37" t="s">
        <v>71</v>
      </c>
      <c r="F12" s="37"/>
      <c r="G12" s="37" t="s">
        <v>67</v>
      </c>
      <c r="H12" s="37" t="s">
        <v>70</v>
      </c>
      <c r="I12" s="37"/>
      <c r="J12" s="38" t="s">
        <v>68</v>
      </c>
      <c r="K12" s="39" t="s">
        <v>56</v>
      </c>
      <c r="L12" s="37" t="s">
        <v>71</v>
      </c>
      <c r="M12" s="37"/>
      <c r="N12" s="37" t="s">
        <v>67</v>
      </c>
      <c r="O12" s="37" t="s">
        <v>70</v>
      </c>
      <c r="P12" s="37"/>
      <c r="Q12" s="38" t="s">
        <v>68</v>
      </c>
      <c r="R12" s="39" t="s">
        <v>56</v>
      </c>
      <c r="S12" s="37" t="s">
        <v>71</v>
      </c>
      <c r="T12" s="37"/>
      <c r="U12" s="37" t="s">
        <v>67</v>
      </c>
      <c r="V12" s="37" t="s">
        <v>70</v>
      </c>
      <c r="W12" s="37"/>
      <c r="X12" s="38" t="s">
        <v>68</v>
      </c>
      <c r="Y12" s="39" t="s">
        <v>56</v>
      </c>
      <c r="Z12" s="37" t="s">
        <v>71</v>
      </c>
      <c r="AA12" s="37"/>
      <c r="AB12" s="37" t="s">
        <v>67</v>
      </c>
      <c r="AC12" s="37" t="s">
        <v>70</v>
      </c>
      <c r="AD12" s="37"/>
      <c r="AE12" s="38" t="s">
        <v>68</v>
      </c>
      <c r="AF12" s="39" t="s">
        <v>56</v>
      </c>
      <c r="AG12" s="37" t="s">
        <v>71</v>
      </c>
      <c r="AH12" s="37"/>
      <c r="AI12" s="37" t="s">
        <v>67</v>
      </c>
      <c r="AJ12" s="37">
        <f t="shared" si="0"/>
        <v>18</v>
      </c>
      <c r="AK12" s="37">
        <f t="shared" si="1"/>
        <v>4</v>
      </c>
    </row>
    <row r="13" spans="1:37" x14ac:dyDescent="0.4">
      <c r="A13" s="33">
        <v>8</v>
      </c>
      <c r="B13" s="34" t="s">
        <v>79</v>
      </c>
      <c r="C13" s="35" t="s">
        <v>54</v>
      </c>
      <c r="D13" s="35" t="s">
        <v>66</v>
      </c>
      <c r="E13" s="37" t="s">
        <v>67</v>
      </c>
      <c r="F13" s="37"/>
      <c r="G13" s="37" t="s">
        <v>70</v>
      </c>
      <c r="H13" s="37" t="s">
        <v>70</v>
      </c>
      <c r="I13" s="37" t="s">
        <v>68</v>
      </c>
      <c r="J13" s="38" t="s">
        <v>68</v>
      </c>
      <c r="K13" s="39" t="s">
        <v>56</v>
      </c>
      <c r="L13" s="37" t="s">
        <v>67</v>
      </c>
      <c r="M13" s="37"/>
      <c r="N13" s="37" t="s">
        <v>70</v>
      </c>
      <c r="O13" s="37" t="s">
        <v>70</v>
      </c>
      <c r="P13" s="37" t="s">
        <v>68</v>
      </c>
      <c r="Q13" s="38" t="s">
        <v>68</v>
      </c>
      <c r="R13" s="39" t="s">
        <v>56</v>
      </c>
      <c r="S13" s="37" t="s">
        <v>67</v>
      </c>
      <c r="T13" s="37"/>
      <c r="U13" s="37" t="s">
        <v>70</v>
      </c>
      <c r="V13" s="37" t="s">
        <v>70</v>
      </c>
      <c r="W13" s="37" t="s">
        <v>68</v>
      </c>
      <c r="X13" s="38" t="s">
        <v>68</v>
      </c>
      <c r="Y13" s="39" t="s">
        <v>56</v>
      </c>
      <c r="Z13" s="37" t="s">
        <v>67</v>
      </c>
      <c r="AA13" s="37"/>
      <c r="AB13" s="37" t="s">
        <v>70</v>
      </c>
      <c r="AC13" s="37" t="s">
        <v>70</v>
      </c>
      <c r="AD13" s="37" t="s">
        <v>68</v>
      </c>
      <c r="AE13" s="38" t="s">
        <v>68</v>
      </c>
      <c r="AF13" s="39" t="s">
        <v>56</v>
      </c>
      <c r="AG13" s="37" t="s">
        <v>67</v>
      </c>
      <c r="AH13" s="37"/>
      <c r="AI13" s="37" t="s">
        <v>70</v>
      </c>
      <c r="AJ13" s="37">
        <f t="shared" si="0"/>
        <v>22</v>
      </c>
      <c r="AK13" s="37">
        <f t="shared" si="1"/>
        <v>4</v>
      </c>
    </row>
    <row r="14" spans="1:37" x14ac:dyDescent="0.4">
      <c r="A14" s="33">
        <v>9</v>
      </c>
      <c r="B14" s="34" t="s">
        <v>81</v>
      </c>
      <c r="C14" s="35" t="s">
        <v>54</v>
      </c>
      <c r="D14" s="35" t="s">
        <v>66</v>
      </c>
      <c r="E14" s="37"/>
      <c r="F14" s="37"/>
      <c r="G14" s="37"/>
      <c r="H14" s="37"/>
      <c r="I14" s="37" t="s">
        <v>74</v>
      </c>
      <c r="J14" s="38"/>
      <c r="K14" s="39" t="s">
        <v>56</v>
      </c>
      <c r="L14" s="37"/>
      <c r="M14" s="37"/>
      <c r="N14" s="37"/>
      <c r="O14" s="37"/>
      <c r="P14" s="37" t="s">
        <v>74</v>
      </c>
      <c r="Q14" s="38"/>
      <c r="R14" s="39" t="s">
        <v>56</v>
      </c>
      <c r="S14" s="37"/>
      <c r="T14" s="37"/>
      <c r="U14" s="37"/>
      <c r="V14" s="37"/>
      <c r="W14" s="37" t="s">
        <v>74</v>
      </c>
      <c r="X14" s="38"/>
      <c r="Y14" s="39" t="s">
        <v>56</v>
      </c>
      <c r="Z14" s="37"/>
      <c r="AA14" s="37"/>
      <c r="AB14" s="37"/>
      <c r="AC14" s="37"/>
      <c r="AD14" s="37" t="s">
        <v>74</v>
      </c>
      <c r="AE14" s="38"/>
      <c r="AF14" s="39" t="s">
        <v>56</v>
      </c>
      <c r="AG14" s="37"/>
      <c r="AH14" s="37"/>
      <c r="AI14" s="37"/>
      <c r="AJ14" s="37">
        <f t="shared" si="0"/>
        <v>4</v>
      </c>
      <c r="AK14" s="37">
        <f t="shared" si="1"/>
        <v>4</v>
      </c>
    </row>
    <row r="15" spans="1:37" x14ac:dyDescent="0.4">
      <c r="A15" s="40" t="s">
        <v>120</v>
      </c>
      <c r="B15" s="41"/>
      <c r="C15" s="41"/>
      <c r="D15" s="41"/>
      <c r="E15" s="41">
        <f t="shared" ref="E15:AI15" si="2">COUNTA(E6:E14)-COUNTIF(E6:E14,"X")-COUNTIF(E6:E14,"P")</f>
        <v>8</v>
      </c>
      <c r="F15" s="41">
        <f t="shared" si="2"/>
        <v>6</v>
      </c>
      <c r="G15" s="41">
        <f t="shared" si="2"/>
        <v>6</v>
      </c>
      <c r="H15" s="41">
        <f t="shared" si="2"/>
        <v>6</v>
      </c>
      <c r="I15" s="41">
        <f t="shared" si="2"/>
        <v>7</v>
      </c>
      <c r="J15" s="41">
        <f t="shared" si="2"/>
        <v>6</v>
      </c>
      <c r="K15" s="41">
        <f t="shared" si="2"/>
        <v>0</v>
      </c>
      <c r="L15" s="41">
        <f t="shared" si="2"/>
        <v>8</v>
      </c>
      <c r="M15" s="41">
        <f t="shared" si="2"/>
        <v>6</v>
      </c>
      <c r="N15" s="41">
        <f t="shared" si="2"/>
        <v>6</v>
      </c>
      <c r="O15" s="41">
        <f t="shared" si="2"/>
        <v>6</v>
      </c>
      <c r="P15" s="41">
        <f t="shared" si="2"/>
        <v>7</v>
      </c>
      <c r="Q15" s="41">
        <f t="shared" si="2"/>
        <v>6</v>
      </c>
      <c r="R15" s="41">
        <f t="shared" si="2"/>
        <v>0</v>
      </c>
      <c r="S15" s="41">
        <f t="shared" si="2"/>
        <v>8</v>
      </c>
      <c r="T15" s="41">
        <f t="shared" si="2"/>
        <v>6</v>
      </c>
      <c r="U15" s="41">
        <f t="shared" si="2"/>
        <v>6</v>
      </c>
      <c r="V15" s="41">
        <f t="shared" si="2"/>
        <v>6</v>
      </c>
      <c r="W15" s="41">
        <f t="shared" si="2"/>
        <v>7</v>
      </c>
      <c r="X15" s="41">
        <f t="shared" si="2"/>
        <v>6</v>
      </c>
      <c r="Y15" s="41">
        <f t="shared" si="2"/>
        <v>0</v>
      </c>
      <c r="Z15" s="41">
        <f t="shared" si="2"/>
        <v>8</v>
      </c>
      <c r="AA15" s="41">
        <f t="shared" si="2"/>
        <v>6</v>
      </c>
      <c r="AB15" s="41">
        <f t="shared" si="2"/>
        <v>6</v>
      </c>
      <c r="AC15" s="41">
        <f t="shared" si="2"/>
        <v>6</v>
      </c>
      <c r="AD15" s="41">
        <f t="shared" si="2"/>
        <v>7</v>
      </c>
      <c r="AE15" s="41">
        <f t="shared" si="2"/>
        <v>6</v>
      </c>
      <c r="AF15" s="41">
        <f t="shared" si="2"/>
        <v>0</v>
      </c>
      <c r="AG15" s="41">
        <f t="shared" si="2"/>
        <v>8</v>
      </c>
      <c r="AH15" s="41">
        <f t="shared" si="2"/>
        <v>6</v>
      </c>
      <c r="AI15" s="41">
        <f t="shared" si="2"/>
        <v>6</v>
      </c>
      <c r="AJ15" s="41">
        <f>SUM(AJ6:AJ14)</f>
        <v>176</v>
      </c>
      <c r="AK15" s="41">
        <f>SUM(AK6:AK14)</f>
        <v>36</v>
      </c>
    </row>
    <row r="17" spans="1:37" x14ac:dyDescent="0.4">
      <c r="A17" s="42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</row>
    <row r="18" spans="1:37" x14ac:dyDescent="0.4">
      <c r="A18" s="44">
        <v>10</v>
      </c>
      <c r="B18" s="45" t="s">
        <v>53</v>
      </c>
      <c r="C18" s="46" t="s">
        <v>82</v>
      </c>
      <c r="D18" s="46" t="s">
        <v>55</v>
      </c>
      <c r="E18" s="37" t="s">
        <v>58</v>
      </c>
      <c r="F18" s="37" t="s">
        <v>83</v>
      </c>
      <c r="G18" s="37" t="s">
        <v>58</v>
      </c>
      <c r="H18" s="37" t="s">
        <v>83</v>
      </c>
      <c r="I18" s="37" t="s">
        <v>59</v>
      </c>
      <c r="J18" s="38" t="s">
        <v>83</v>
      </c>
      <c r="K18" s="39" t="s">
        <v>56</v>
      </c>
      <c r="L18" s="37" t="s">
        <v>58</v>
      </c>
      <c r="M18" s="37" t="s">
        <v>83</v>
      </c>
      <c r="N18" s="37" t="s">
        <v>58</v>
      </c>
      <c r="O18" s="37" t="s">
        <v>83</v>
      </c>
      <c r="P18" s="37" t="s">
        <v>59</v>
      </c>
      <c r="Q18" s="38" t="s">
        <v>83</v>
      </c>
      <c r="R18" s="39" t="s">
        <v>56</v>
      </c>
      <c r="S18" s="37" t="s">
        <v>58</v>
      </c>
      <c r="T18" s="37" t="s">
        <v>83</v>
      </c>
      <c r="U18" s="37" t="s">
        <v>58</v>
      </c>
      <c r="V18" s="37" t="s">
        <v>83</v>
      </c>
      <c r="W18" s="37" t="s">
        <v>59</v>
      </c>
      <c r="X18" s="38" t="s">
        <v>83</v>
      </c>
      <c r="Y18" s="39" t="s">
        <v>56</v>
      </c>
      <c r="Z18" s="37" t="s">
        <v>58</v>
      </c>
      <c r="AA18" s="37" t="s">
        <v>83</v>
      </c>
      <c r="AB18" s="37" t="s">
        <v>58</v>
      </c>
      <c r="AC18" s="37" t="s">
        <v>83</v>
      </c>
      <c r="AD18" s="37" t="s">
        <v>59</v>
      </c>
      <c r="AE18" s="38" t="s">
        <v>83</v>
      </c>
      <c r="AF18" s="39" t="s">
        <v>56</v>
      </c>
      <c r="AG18" s="37" t="s">
        <v>58</v>
      </c>
      <c r="AH18" s="37" t="s">
        <v>83</v>
      </c>
      <c r="AI18" s="37" t="s">
        <v>58</v>
      </c>
      <c r="AJ18" s="37">
        <f t="shared" ref="AJ18:AJ24" si="3">COUNTA(E18:AI18)-COUNTIF(E18:AI18,"X")-COUNTIF(E18:AI18,"P")</f>
        <v>27</v>
      </c>
      <c r="AK18" s="37">
        <f t="shared" ref="AK18:AK24" si="4">COUNTIF(E18:AI18,"X")+COUNTIF(E18:AI18,"P")</f>
        <v>4</v>
      </c>
    </row>
    <row r="19" spans="1:37" x14ac:dyDescent="0.4">
      <c r="A19" s="44">
        <v>11</v>
      </c>
      <c r="B19" s="45" t="s">
        <v>84</v>
      </c>
      <c r="C19" s="46" t="s">
        <v>82</v>
      </c>
      <c r="D19" s="46" t="s">
        <v>61</v>
      </c>
      <c r="E19" s="37" t="s">
        <v>62</v>
      </c>
      <c r="F19" s="37" t="s">
        <v>58</v>
      </c>
      <c r="G19" s="37" t="s">
        <v>62</v>
      </c>
      <c r="H19" s="37" t="s">
        <v>58</v>
      </c>
      <c r="I19" s="37" t="s">
        <v>59</v>
      </c>
      <c r="J19" s="38" t="s">
        <v>59</v>
      </c>
      <c r="K19" s="39" t="s">
        <v>56</v>
      </c>
      <c r="L19" s="37" t="s">
        <v>62</v>
      </c>
      <c r="M19" s="37" t="s">
        <v>58</v>
      </c>
      <c r="N19" s="37" t="s">
        <v>62</v>
      </c>
      <c r="O19" s="37" t="s">
        <v>58</v>
      </c>
      <c r="P19" s="37" t="s">
        <v>59</v>
      </c>
      <c r="Q19" s="38" t="s">
        <v>59</v>
      </c>
      <c r="R19" s="39" t="s">
        <v>56</v>
      </c>
      <c r="S19" s="37" t="s">
        <v>62</v>
      </c>
      <c r="T19" s="37" t="s">
        <v>58</v>
      </c>
      <c r="U19" s="37" t="s">
        <v>62</v>
      </c>
      <c r="V19" s="37" t="s">
        <v>58</v>
      </c>
      <c r="W19" s="37" t="s">
        <v>59</v>
      </c>
      <c r="X19" s="38" t="s">
        <v>59</v>
      </c>
      <c r="Y19" s="39" t="s">
        <v>56</v>
      </c>
      <c r="Z19" s="37" t="s">
        <v>62</v>
      </c>
      <c r="AA19" s="37" t="s">
        <v>58</v>
      </c>
      <c r="AB19" s="37" t="s">
        <v>62</v>
      </c>
      <c r="AC19" s="37" t="s">
        <v>58</v>
      </c>
      <c r="AD19" s="37" t="s">
        <v>59</v>
      </c>
      <c r="AE19" s="38" t="s">
        <v>59</v>
      </c>
      <c r="AF19" s="39" t="s">
        <v>56</v>
      </c>
      <c r="AG19" s="37" t="s">
        <v>62</v>
      </c>
      <c r="AH19" s="37" t="s">
        <v>58</v>
      </c>
      <c r="AI19" s="37" t="s">
        <v>62</v>
      </c>
      <c r="AJ19" s="37">
        <f t="shared" si="3"/>
        <v>27</v>
      </c>
      <c r="AK19" s="37">
        <f t="shared" si="4"/>
        <v>4</v>
      </c>
    </row>
    <row r="20" spans="1:37" x14ac:dyDescent="0.4">
      <c r="A20" s="44">
        <v>12</v>
      </c>
      <c r="B20" s="45" t="s">
        <v>85</v>
      </c>
      <c r="C20" s="46" t="s">
        <v>82</v>
      </c>
      <c r="D20" s="46" t="s">
        <v>61</v>
      </c>
      <c r="E20" s="37" t="s">
        <v>86</v>
      </c>
      <c r="F20" s="37" t="s">
        <v>86</v>
      </c>
      <c r="G20" s="37" t="s">
        <v>86</v>
      </c>
      <c r="H20" s="37" t="s">
        <v>86</v>
      </c>
      <c r="I20" s="37" t="s">
        <v>86</v>
      </c>
      <c r="J20" s="39" t="s">
        <v>56</v>
      </c>
      <c r="K20" s="39" t="s">
        <v>56</v>
      </c>
      <c r="L20" s="37" t="s">
        <v>86</v>
      </c>
      <c r="M20" s="37" t="s">
        <v>86</v>
      </c>
      <c r="N20" s="37" t="s">
        <v>86</v>
      </c>
      <c r="O20" s="37" t="s">
        <v>86</v>
      </c>
      <c r="P20" s="37" t="s">
        <v>86</v>
      </c>
      <c r="Q20" s="39" t="s">
        <v>56</v>
      </c>
      <c r="R20" s="39" t="s">
        <v>56</v>
      </c>
      <c r="S20" s="37" t="s">
        <v>86</v>
      </c>
      <c r="T20" s="37" t="s">
        <v>86</v>
      </c>
      <c r="U20" s="37" t="s">
        <v>86</v>
      </c>
      <c r="V20" s="37" t="s">
        <v>86</v>
      </c>
      <c r="W20" s="37" t="s">
        <v>86</v>
      </c>
      <c r="X20" s="39" t="s">
        <v>56</v>
      </c>
      <c r="Y20" s="39" t="s">
        <v>56</v>
      </c>
      <c r="Z20" s="37" t="s">
        <v>86</v>
      </c>
      <c r="AA20" s="37" t="s">
        <v>86</v>
      </c>
      <c r="AB20" s="37" t="s">
        <v>86</v>
      </c>
      <c r="AC20" s="37" t="s">
        <v>86</v>
      </c>
      <c r="AD20" s="37" t="s">
        <v>86</v>
      </c>
      <c r="AE20" s="39" t="s">
        <v>56</v>
      </c>
      <c r="AF20" s="39" t="s">
        <v>56</v>
      </c>
      <c r="AG20" s="37" t="s">
        <v>86</v>
      </c>
      <c r="AH20" s="37" t="s">
        <v>86</v>
      </c>
      <c r="AI20" s="37" t="s">
        <v>86</v>
      </c>
      <c r="AJ20" s="37">
        <f t="shared" si="3"/>
        <v>23</v>
      </c>
      <c r="AK20" s="37">
        <f t="shared" si="4"/>
        <v>8</v>
      </c>
    </row>
    <row r="21" spans="1:37" x14ac:dyDescent="0.4">
      <c r="A21" s="44">
        <v>13</v>
      </c>
      <c r="B21" s="45" t="s">
        <v>87</v>
      </c>
      <c r="C21" s="46" t="s">
        <v>82</v>
      </c>
      <c r="D21" s="46" t="s">
        <v>66</v>
      </c>
      <c r="E21" s="37" t="s">
        <v>67</v>
      </c>
      <c r="F21" s="37" t="s">
        <v>89</v>
      </c>
      <c r="G21" s="37"/>
      <c r="H21" s="37" t="s">
        <v>70</v>
      </c>
      <c r="I21" s="37" t="s">
        <v>74</v>
      </c>
      <c r="J21" s="38"/>
      <c r="K21" s="39" t="s">
        <v>56</v>
      </c>
      <c r="L21" s="37" t="s">
        <v>67</v>
      </c>
      <c r="M21" s="37" t="s">
        <v>89</v>
      </c>
      <c r="N21" s="37"/>
      <c r="O21" s="37" t="s">
        <v>70</v>
      </c>
      <c r="P21" s="37" t="s">
        <v>74</v>
      </c>
      <c r="Q21" s="38"/>
      <c r="R21" s="39" t="s">
        <v>56</v>
      </c>
      <c r="S21" s="37" t="s">
        <v>67</v>
      </c>
      <c r="T21" s="37" t="s">
        <v>89</v>
      </c>
      <c r="U21" s="37"/>
      <c r="V21" s="37" t="s">
        <v>70</v>
      </c>
      <c r="W21" s="37" t="s">
        <v>74</v>
      </c>
      <c r="X21" s="38"/>
      <c r="Y21" s="39" t="s">
        <v>56</v>
      </c>
      <c r="Z21" s="37" t="s">
        <v>67</v>
      </c>
      <c r="AA21" s="37" t="s">
        <v>89</v>
      </c>
      <c r="AB21" s="37"/>
      <c r="AC21" s="37" t="s">
        <v>70</v>
      </c>
      <c r="AD21" s="37" t="s">
        <v>74</v>
      </c>
      <c r="AE21" s="38"/>
      <c r="AF21" s="39" t="s">
        <v>56</v>
      </c>
      <c r="AG21" s="37" t="s">
        <v>67</v>
      </c>
      <c r="AH21" s="37" t="s">
        <v>89</v>
      </c>
      <c r="AI21" s="37"/>
      <c r="AJ21" s="37">
        <f t="shared" si="3"/>
        <v>18</v>
      </c>
      <c r="AK21" s="37">
        <f t="shared" si="4"/>
        <v>4</v>
      </c>
    </row>
    <row r="22" spans="1:37" x14ac:dyDescent="0.4">
      <c r="A22" s="44">
        <v>14</v>
      </c>
      <c r="B22" s="45" t="s">
        <v>90</v>
      </c>
      <c r="C22" s="46" t="s">
        <v>82</v>
      </c>
      <c r="D22" s="46" t="s">
        <v>66</v>
      </c>
      <c r="E22" s="37" t="s">
        <v>68</v>
      </c>
      <c r="F22" s="37" t="s">
        <v>89</v>
      </c>
      <c r="G22" s="37"/>
      <c r="H22" s="37" t="s">
        <v>71</v>
      </c>
      <c r="I22" s="37" t="s">
        <v>74</v>
      </c>
      <c r="J22" s="38"/>
      <c r="K22" s="39" t="s">
        <v>56</v>
      </c>
      <c r="L22" s="37" t="s">
        <v>68</v>
      </c>
      <c r="M22" s="37" t="s">
        <v>89</v>
      </c>
      <c r="N22" s="37"/>
      <c r="O22" s="37" t="s">
        <v>71</v>
      </c>
      <c r="P22" s="37" t="s">
        <v>74</v>
      </c>
      <c r="Q22" s="38"/>
      <c r="R22" s="39" t="s">
        <v>56</v>
      </c>
      <c r="S22" s="37" t="s">
        <v>68</v>
      </c>
      <c r="T22" s="37" t="s">
        <v>89</v>
      </c>
      <c r="U22" s="37"/>
      <c r="V22" s="37" t="s">
        <v>71</v>
      </c>
      <c r="W22" s="37" t="s">
        <v>74</v>
      </c>
      <c r="X22" s="38"/>
      <c r="Y22" s="39" t="s">
        <v>56</v>
      </c>
      <c r="Z22" s="37" t="s">
        <v>68</v>
      </c>
      <c r="AA22" s="37" t="s">
        <v>89</v>
      </c>
      <c r="AB22" s="37"/>
      <c r="AC22" s="37" t="s">
        <v>71</v>
      </c>
      <c r="AD22" s="37" t="s">
        <v>74</v>
      </c>
      <c r="AE22" s="38"/>
      <c r="AF22" s="39" t="s">
        <v>56</v>
      </c>
      <c r="AG22" s="37" t="s">
        <v>68</v>
      </c>
      <c r="AH22" s="37" t="s">
        <v>89</v>
      </c>
      <c r="AI22" s="37"/>
      <c r="AJ22" s="37">
        <f t="shared" si="3"/>
        <v>18</v>
      </c>
      <c r="AK22" s="37">
        <f t="shared" si="4"/>
        <v>4</v>
      </c>
    </row>
    <row r="23" spans="1:37" x14ac:dyDescent="0.4">
      <c r="A23" s="44">
        <v>15</v>
      </c>
      <c r="B23" s="45" t="s">
        <v>92</v>
      </c>
      <c r="C23" s="46" t="s">
        <v>82</v>
      </c>
      <c r="D23" s="46" t="s">
        <v>66</v>
      </c>
      <c r="E23" s="37" t="s">
        <v>67</v>
      </c>
      <c r="F23" s="37" t="s">
        <v>70</v>
      </c>
      <c r="G23" s="37" t="s">
        <v>67</v>
      </c>
      <c r="H23" s="37" t="s">
        <v>74</v>
      </c>
      <c r="I23" s="37" t="s">
        <v>71</v>
      </c>
      <c r="J23" s="38" t="s">
        <v>68</v>
      </c>
      <c r="K23" s="39" t="s">
        <v>56</v>
      </c>
      <c r="L23" s="37" t="s">
        <v>67</v>
      </c>
      <c r="M23" s="37" t="s">
        <v>70</v>
      </c>
      <c r="N23" s="37" t="s">
        <v>67</v>
      </c>
      <c r="O23" s="37" t="s">
        <v>74</v>
      </c>
      <c r="P23" s="37" t="s">
        <v>71</v>
      </c>
      <c r="Q23" s="38" t="s">
        <v>68</v>
      </c>
      <c r="R23" s="39" t="s">
        <v>56</v>
      </c>
      <c r="S23" s="37" t="s">
        <v>67</v>
      </c>
      <c r="T23" s="37" t="s">
        <v>70</v>
      </c>
      <c r="U23" s="37" t="s">
        <v>67</v>
      </c>
      <c r="V23" s="37" t="s">
        <v>74</v>
      </c>
      <c r="W23" s="37" t="s">
        <v>71</v>
      </c>
      <c r="X23" s="38" t="s">
        <v>68</v>
      </c>
      <c r="Y23" s="39" t="s">
        <v>56</v>
      </c>
      <c r="Z23" s="37" t="s">
        <v>67</v>
      </c>
      <c r="AA23" s="37" t="s">
        <v>70</v>
      </c>
      <c r="AB23" s="37" t="s">
        <v>67</v>
      </c>
      <c r="AC23" s="37" t="s">
        <v>74</v>
      </c>
      <c r="AD23" s="37" t="s">
        <v>71</v>
      </c>
      <c r="AE23" s="38" t="s">
        <v>68</v>
      </c>
      <c r="AF23" s="39" t="s">
        <v>56</v>
      </c>
      <c r="AG23" s="37" t="s">
        <v>67</v>
      </c>
      <c r="AH23" s="37" t="s">
        <v>70</v>
      </c>
      <c r="AI23" s="37" t="s">
        <v>67</v>
      </c>
      <c r="AJ23" s="37">
        <f t="shared" si="3"/>
        <v>27</v>
      </c>
      <c r="AK23" s="37">
        <f t="shared" si="4"/>
        <v>4</v>
      </c>
    </row>
    <row r="24" spans="1:37" x14ac:dyDescent="0.4">
      <c r="A24" s="44">
        <v>16</v>
      </c>
      <c r="B24" s="45" t="s">
        <v>94</v>
      </c>
      <c r="C24" s="46" t="s">
        <v>82</v>
      </c>
      <c r="D24" s="46" t="s">
        <v>66</v>
      </c>
      <c r="E24" s="37" t="s">
        <v>71</v>
      </c>
      <c r="F24" s="37"/>
      <c r="G24" s="37" t="s">
        <v>67</v>
      </c>
      <c r="H24" s="37" t="s">
        <v>70</v>
      </c>
      <c r="I24" s="37"/>
      <c r="J24" s="38" t="s">
        <v>68</v>
      </c>
      <c r="K24" s="39" t="s">
        <v>56</v>
      </c>
      <c r="L24" s="37" t="s">
        <v>71</v>
      </c>
      <c r="M24" s="37"/>
      <c r="N24" s="37" t="s">
        <v>67</v>
      </c>
      <c r="O24" s="37" t="s">
        <v>70</v>
      </c>
      <c r="P24" s="37"/>
      <c r="Q24" s="38" t="s">
        <v>68</v>
      </c>
      <c r="R24" s="39" t="s">
        <v>56</v>
      </c>
      <c r="S24" s="37" t="s">
        <v>71</v>
      </c>
      <c r="T24" s="37"/>
      <c r="U24" s="37" t="s">
        <v>67</v>
      </c>
      <c r="V24" s="37" t="s">
        <v>70</v>
      </c>
      <c r="W24" s="37"/>
      <c r="X24" s="38" t="s">
        <v>68</v>
      </c>
      <c r="Y24" s="39" t="s">
        <v>56</v>
      </c>
      <c r="Z24" s="37" t="s">
        <v>71</v>
      </c>
      <c r="AA24" s="37"/>
      <c r="AB24" s="37" t="s">
        <v>67</v>
      </c>
      <c r="AC24" s="37" t="s">
        <v>70</v>
      </c>
      <c r="AD24" s="37"/>
      <c r="AE24" s="38" t="s">
        <v>68</v>
      </c>
      <c r="AF24" s="39" t="s">
        <v>56</v>
      </c>
      <c r="AG24" s="37" t="s">
        <v>71</v>
      </c>
      <c r="AH24" s="37"/>
      <c r="AI24" s="37" t="s">
        <v>67</v>
      </c>
      <c r="AJ24" s="37">
        <f t="shared" si="3"/>
        <v>18</v>
      </c>
      <c r="AK24" s="37">
        <f t="shared" si="4"/>
        <v>4</v>
      </c>
    </row>
    <row r="25" spans="1:37" x14ac:dyDescent="0.4">
      <c r="A25" s="47" t="s">
        <v>122</v>
      </c>
      <c r="B25" s="48"/>
      <c r="C25" s="48"/>
      <c r="D25" s="48"/>
      <c r="E25" s="48">
        <f t="shared" ref="E25:AI25" si="5">COUNTA(E18:E24)-COUNTIF(E18:E24,"X")-COUNTIF(E18:E24,"P")</f>
        <v>7</v>
      </c>
      <c r="F25" s="48">
        <f t="shared" si="5"/>
        <v>6</v>
      </c>
      <c r="G25" s="48">
        <f t="shared" si="5"/>
        <v>5</v>
      </c>
      <c r="H25" s="48">
        <f t="shared" si="5"/>
        <v>7</v>
      </c>
      <c r="I25" s="48">
        <f t="shared" si="5"/>
        <v>6</v>
      </c>
      <c r="J25" s="48">
        <f t="shared" si="5"/>
        <v>4</v>
      </c>
      <c r="K25" s="48">
        <f t="shared" si="5"/>
        <v>0</v>
      </c>
      <c r="L25" s="48">
        <f t="shared" si="5"/>
        <v>7</v>
      </c>
      <c r="M25" s="48">
        <f t="shared" si="5"/>
        <v>6</v>
      </c>
      <c r="N25" s="48">
        <f t="shared" si="5"/>
        <v>5</v>
      </c>
      <c r="O25" s="48">
        <f t="shared" si="5"/>
        <v>7</v>
      </c>
      <c r="P25" s="48">
        <f t="shared" si="5"/>
        <v>6</v>
      </c>
      <c r="Q25" s="48">
        <f t="shared" si="5"/>
        <v>4</v>
      </c>
      <c r="R25" s="48">
        <f t="shared" si="5"/>
        <v>0</v>
      </c>
      <c r="S25" s="48">
        <f t="shared" si="5"/>
        <v>7</v>
      </c>
      <c r="T25" s="48">
        <f t="shared" si="5"/>
        <v>6</v>
      </c>
      <c r="U25" s="48">
        <f t="shared" si="5"/>
        <v>5</v>
      </c>
      <c r="V25" s="48">
        <f t="shared" si="5"/>
        <v>7</v>
      </c>
      <c r="W25" s="48">
        <f t="shared" si="5"/>
        <v>6</v>
      </c>
      <c r="X25" s="48">
        <f t="shared" si="5"/>
        <v>4</v>
      </c>
      <c r="Y25" s="48">
        <f t="shared" si="5"/>
        <v>0</v>
      </c>
      <c r="Z25" s="48">
        <f t="shared" si="5"/>
        <v>7</v>
      </c>
      <c r="AA25" s="48">
        <f t="shared" si="5"/>
        <v>6</v>
      </c>
      <c r="AB25" s="48">
        <f t="shared" si="5"/>
        <v>5</v>
      </c>
      <c r="AC25" s="48">
        <f t="shared" si="5"/>
        <v>7</v>
      </c>
      <c r="AD25" s="48">
        <f t="shared" si="5"/>
        <v>6</v>
      </c>
      <c r="AE25" s="48">
        <f t="shared" si="5"/>
        <v>4</v>
      </c>
      <c r="AF25" s="48">
        <f t="shared" si="5"/>
        <v>0</v>
      </c>
      <c r="AG25" s="48">
        <f t="shared" si="5"/>
        <v>7</v>
      </c>
      <c r="AH25" s="48">
        <f t="shared" si="5"/>
        <v>6</v>
      </c>
      <c r="AI25" s="48">
        <f t="shared" si="5"/>
        <v>5</v>
      </c>
      <c r="AJ25" s="48">
        <f>SUM(AJ18:AJ24)</f>
        <v>158</v>
      </c>
      <c r="AK25" s="48">
        <f>SUM(AK18:AK24)</f>
        <v>32</v>
      </c>
    </row>
    <row r="27" spans="1:37" x14ac:dyDescent="0.4">
      <c r="A27" s="49" t="s">
        <v>123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</row>
    <row r="28" spans="1:37" x14ac:dyDescent="0.4">
      <c r="A28" s="51">
        <v>17</v>
      </c>
      <c r="B28" s="52" t="s">
        <v>96</v>
      </c>
      <c r="C28" s="53" t="s">
        <v>97</v>
      </c>
      <c r="D28" s="53" t="s">
        <v>98</v>
      </c>
      <c r="E28" s="37" t="s">
        <v>99</v>
      </c>
      <c r="F28" s="37" t="s">
        <v>99</v>
      </c>
      <c r="G28" s="37" t="s">
        <v>99</v>
      </c>
      <c r="H28" s="37" t="s">
        <v>99</v>
      </c>
      <c r="I28" s="37" t="s">
        <v>99</v>
      </c>
      <c r="J28" s="38" t="s">
        <v>99</v>
      </c>
      <c r="K28" s="39" t="s">
        <v>56</v>
      </c>
      <c r="L28" s="37" t="s">
        <v>99</v>
      </c>
      <c r="M28" s="37" t="s">
        <v>99</v>
      </c>
      <c r="N28" s="37" t="s">
        <v>99</v>
      </c>
      <c r="O28" s="37" t="s">
        <v>99</v>
      </c>
      <c r="P28" s="37" t="s">
        <v>99</v>
      </c>
      <c r="Q28" s="38" t="s">
        <v>99</v>
      </c>
      <c r="R28" s="39" t="s">
        <v>56</v>
      </c>
      <c r="S28" s="37" t="s">
        <v>99</v>
      </c>
      <c r="T28" s="37" t="s">
        <v>99</v>
      </c>
      <c r="U28" s="37" t="s">
        <v>99</v>
      </c>
      <c r="V28" s="37" t="s">
        <v>99</v>
      </c>
      <c r="W28" s="37" t="s">
        <v>99</v>
      </c>
      <c r="X28" s="38" t="s">
        <v>99</v>
      </c>
      <c r="Y28" s="39" t="s">
        <v>56</v>
      </c>
      <c r="Z28" s="37" t="s">
        <v>99</v>
      </c>
      <c r="AA28" s="37" t="s">
        <v>99</v>
      </c>
      <c r="AB28" s="37" t="s">
        <v>99</v>
      </c>
      <c r="AC28" s="37" t="s">
        <v>99</v>
      </c>
      <c r="AD28" s="37" t="s">
        <v>99</v>
      </c>
      <c r="AE28" s="38" t="s">
        <v>99</v>
      </c>
      <c r="AF28" s="39" t="s">
        <v>56</v>
      </c>
      <c r="AG28" s="37" t="s">
        <v>99</v>
      </c>
      <c r="AH28" s="37" t="s">
        <v>99</v>
      </c>
      <c r="AI28" s="37" t="s">
        <v>99</v>
      </c>
      <c r="AJ28" s="37">
        <f>COUNTA(E28:AI28)-COUNTIF(E28:AI28,"X")-COUNTIF(E28:AI28,"P")</f>
        <v>27</v>
      </c>
      <c r="AK28" s="37">
        <f>COUNTIF(E28:AI28,"X")+COUNTIF(E28:AI28,"P")</f>
        <v>4</v>
      </c>
    </row>
    <row r="29" spans="1:37" x14ac:dyDescent="0.4">
      <c r="A29" s="51">
        <v>18</v>
      </c>
      <c r="B29" s="52" t="s">
        <v>100</v>
      </c>
      <c r="C29" s="53" t="s">
        <v>97</v>
      </c>
      <c r="D29" s="53" t="s">
        <v>101</v>
      </c>
      <c r="E29" s="37" t="s">
        <v>99</v>
      </c>
      <c r="F29" s="37" t="s">
        <v>99</v>
      </c>
      <c r="G29" s="37" t="s">
        <v>99</v>
      </c>
      <c r="H29" s="37" t="s">
        <v>99</v>
      </c>
      <c r="I29" s="37" t="s">
        <v>99</v>
      </c>
      <c r="J29" s="38" t="s">
        <v>99</v>
      </c>
      <c r="K29" s="39" t="s">
        <v>56</v>
      </c>
      <c r="L29" s="37" t="s">
        <v>99</v>
      </c>
      <c r="M29" s="37" t="s">
        <v>99</v>
      </c>
      <c r="N29" s="37" t="s">
        <v>99</v>
      </c>
      <c r="O29" s="37" t="s">
        <v>99</v>
      </c>
      <c r="P29" s="37" t="s">
        <v>99</v>
      </c>
      <c r="Q29" s="38" t="s">
        <v>99</v>
      </c>
      <c r="R29" s="39" t="s">
        <v>56</v>
      </c>
      <c r="S29" s="37" t="s">
        <v>99</v>
      </c>
      <c r="T29" s="37" t="s">
        <v>99</v>
      </c>
      <c r="U29" s="37" t="s">
        <v>99</v>
      </c>
      <c r="V29" s="37" t="s">
        <v>99</v>
      </c>
      <c r="W29" s="37" t="s">
        <v>99</v>
      </c>
      <c r="X29" s="38" t="s">
        <v>99</v>
      </c>
      <c r="Y29" s="39" t="s">
        <v>56</v>
      </c>
      <c r="Z29" s="37" t="s">
        <v>99</v>
      </c>
      <c r="AA29" s="37" t="s">
        <v>99</v>
      </c>
      <c r="AB29" s="37" t="s">
        <v>99</v>
      </c>
      <c r="AC29" s="37" t="s">
        <v>99</v>
      </c>
      <c r="AD29" s="37" t="s">
        <v>99</v>
      </c>
      <c r="AE29" s="38" t="s">
        <v>99</v>
      </c>
      <c r="AF29" s="39" t="s">
        <v>56</v>
      </c>
      <c r="AG29" s="37" t="s">
        <v>99</v>
      </c>
      <c r="AH29" s="37" t="s">
        <v>99</v>
      </c>
      <c r="AI29" s="37" t="s">
        <v>99</v>
      </c>
      <c r="AJ29" s="37">
        <f>COUNTA(E29:AI29)-COUNTIF(E29:AI29,"X")-COUNTIF(E29:AI29,"P")</f>
        <v>27</v>
      </c>
      <c r="AK29" s="37">
        <f>COUNTIF(E29:AI29,"X")+COUNTIF(E29:AI29,"P")</f>
        <v>4</v>
      </c>
    </row>
    <row r="30" spans="1:37" x14ac:dyDescent="0.4">
      <c r="A30" s="51">
        <v>19</v>
      </c>
      <c r="B30" s="52" t="s">
        <v>102</v>
      </c>
      <c r="C30" s="53" t="s">
        <v>97</v>
      </c>
      <c r="D30" s="53" t="s">
        <v>103</v>
      </c>
      <c r="E30" s="37" t="s">
        <v>99</v>
      </c>
      <c r="F30" s="37" t="s">
        <v>99</v>
      </c>
      <c r="G30" s="37" t="s">
        <v>99</v>
      </c>
      <c r="H30" s="37" t="s">
        <v>99</v>
      </c>
      <c r="I30" s="37" t="s">
        <v>99</v>
      </c>
      <c r="J30" s="38" t="s">
        <v>99</v>
      </c>
      <c r="K30" s="39" t="s">
        <v>56</v>
      </c>
      <c r="L30" s="37" t="s">
        <v>99</v>
      </c>
      <c r="M30" s="37" t="s">
        <v>99</v>
      </c>
      <c r="N30" s="37" t="s">
        <v>99</v>
      </c>
      <c r="O30" s="37" t="s">
        <v>99</v>
      </c>
      <c r="P30" s="37" t="s">
        <v>99</v>
      </c>
      <c r="Q30" s="38" t="s">
        <v>99</v>
      </c>
      <c r="R30" s="39" t="s">
        <v>56</v>
      </c>
      <c r="S30" s="37" t="s">
        <v>99</v>
      </c>
      <c r="T30" s="37" t="s">
        <v>99</v>
      </c>
      <c r="U30" s="37" t="s">
        <v>99</v>
      </c>
      <c r="V30" s="37" t="s">
        <v>99</v>
      </c>
      <c r="W30" s="37" t="s">
        <v>99</v>
      </c>
      <c r="X30" s="38" t="s">
        <v>99</v>
      </c>
      <c r="Y30" s="39" t="s">
        <v>56</v>
      </c>
      <c r="Z30" s="37" t="s">
        <v>99</v>
      </c>
      <c r="AA30" s="37" t="s">
        <v>99</v>
      </c>
      <c r="AB30" s="37" t="s">
        <v>99</v>
      </c>
      <c r="AC30" s="37" t="s">
        <v>99</v>
      </c>
      <c r="AD30" s="37" t="s">
        <v>99</v>
      </c>
      <c r="AE30" s="38" t="s">
        <v>99</v>
      </c>
      <c r="AF30" s="39" t="s">
        <v>56</v>
      </c>
      <c r="AG30" s="37" t="s">
        <v>99</v>
      </c>
      <c r="AH30" s="37" t="s">
        <v>99</v>
      </c>
      <c r="AI30" s="37" t="s">
        <v>99</v>
      </c>
      <c r="AJ30" s="37">
        <f>COUNTA(E30:AI30)-COUNTIF(E30:AI30,"X")-COUNTIF(E30:AI30,"P")</f>
        <v>27</v>
      </c>
      <c r="AK30" s="37">
        <f>COUNTIF(E30:AI30,"X")+COUNTIF(E30:AI30,"P")</f>
        <v>4</v>
      </c>
    </row>
    <row r="31" spans="1:37" x14ac:dyDescent="0.4">
      <c r="A31" s="51">
        <v>20</v>
      </c>
      <c r="B31" s="52" t="s">
        <v>104</v>
      </c>
      <c r="C31" s="53" t="s">
        <v>97</v>
      </c>
      <c r="D31" s="53" t="s">
        <v>105</v>
      </c>
      <c r="E31" s="37" t="s">
        <v>99</v>
      </c>
      <c r="F31" s="37" t="s">
        <v>99</v>
      </c>
      <c r="G31" s="37" t="s">
        <v>99</v>
      </c>
      <c r="H31" s="37" t="s">
        <v>99</v>
      </c>
      <c r="I31" s="37" t="s">
        <v>99</v>
      </c>
      <c r="J31" s="38" t="s">
        <v>106</v>
      </c>
      <c r="K31" s="37" t="s">
        <v>106</v>
      </c>
      <c r="L31" s="37" t="s">
        <v>99</v>
      </c>
      <c r="M31" s="37" t="s">
        <v>99</v>
      </c>
      <c r="N31" s="37" t="s">
        <v>99</v>
      </c>
      <c r="O31" s="37" t="s">
        <v>99</v>
      </c>
      <c r="P31" s="37" t="s">
        <v>99</v>
      </c>
      <c r="Q31" s="38" t="s">
        <v>106</v>
      </c>
      <c r="R31" s="37" t="s">
        <v>106</v>
      </c>
      <c r="S31" s="37" t="s">
        <v>99</v>
      </c>
      <c r="T31" s="37" t="s">
        <v>99</v>
      </c>
      <c r="U31" s="37" t="s">
        <v>99</v>
      </c>
      <c r="V31" s="37" t="s">
        <v>99</v>
      </c>
      <c r="W31" s="37" t="s">
        <v>99</v>
      </c>
      <c r="X31" s="38" t="s">
        <v>106</v>
      </c>
      <c r="Y31" s="37" t="s">
        <v>106</v>
      </c>
      <c r="Z31" s="37" t="s">
        <v>99</v>
      </c>
      <c r="AA31" s="37" t="s">
        <v>99</v>
      </c>
      <c r="AB31" s="37" t="s">
        <v>99</v>
      </c>
      <c r="AC31" s="37" t="s">
        <v>99</v>
      </c>
      <c r="AD31" s="37" t="s">
        <v>99</v>
      </c>
      <c r="AE31" s="38" t="s">
        <v>106</v>
      </c>
      <c r="AF31" s="37" t="s">
        <v>106</v>
      </c>
      <c r="AG31" s="37" t="s">
        <v>99</v>
      </c>
      <c r="AH31" s="37" t="s">
        <v>99</v>
      </c>
      <c r="AI31" s="37" t="s">
        <v>99</v>
      </c>
      <c r="AJ31" s="37">
        <f>COUNTA(E31:AI31)-COUNTIF(E31:AI31,"X")-COUNTIF(E31:AI31,"P")</f>
        <v>31</v>
      </c>
      <c r="AK31" s="37">
        <f>COUNTIF(E31:AI31,"X")+COUNTIF(E31:AI31,"P")</f>
        <v>0</v>
      </c>
    </row>
    <row r="32" spans="1:37" x14ac:dyDescent="0.4">
      <c r="A32" s="54" t="s">
        <v>124</v>
      </c>
      <c r="B32" s="55"/>
      <c r="C32" s="55"/>
      <c r="D32" s="55"/>
      <c r="E32" s="55">
        <f t="shared" ref="E32:AI32" si="6">COUNTA(E28:E31)-COUNTIF(E28:E31,"X")-COUNTIF(E28:E31,"P")</f>
        <v>4</v>
      </c>
      <c r="F32" s="55">
        <f t="shared" si="6"/>
        <v>4</v>
      </c>
      <c r="G32" s="55">
        <f t="shared" si="6"/>
        <v>4</v>
      </c>
      <c r="H32" s="55">
        <f t="shared" si="6"/>
        <v>4</v>
      </c>
      <c r="I32" s="55">
        <f t="shared" si="6"/>
        <v>4</v>
      </c>
      <c r="J32" s="55">
        <f t="shared" si="6"/>
        <v>4</v>
      </c>
      <c r="K32" s="55">
        <f t="shared" si="6"/>
        <v>1</v>
      </c>
      <c r="L32" s="55">
        <f t="shared" si="6"/>
        <v>4</v>
      </c>
      <c r="M32" s="55">
        <f t="shared" si="6"/>
        <v>4</v>
      </c>
      <c r="N32" s="55">
        <f t="shared" si="6"/>
        <v>4</v>
      </c>
      <c r="O32" s="55">
        <f t="shared" si="6"/>
        <v>4</v>
      </c>
      <c r="P32" s="55">
        <f t="shared" si="6"/>
        <v>4</v>
      </c>
      <c r="Q32" s="55">
        <f t="shared" si="6"/>
        <v>4</v>
      </c>
      <c r="R32" s="55">
        <f t="shared" si="6"/>
        <v>1</v>
      </c>
      <c r="S32" s="55">
        <f t="shared" si="6"/>
        <v>4</v>
      </c>
      <c r="T32" s="55">
        <f t="shared" si="6"/>
        <v>4</v>
      </c>
      <c r="U32" s="55">
        <f t="shared" si="6"/>
        <v>4</v>
      </c>
      <c r="V32" s="55">
        <f t="shared" si="6"/>
        <v>4</v>
      </c>
      <c r="W32" s="55">
        <f t="shared" si="6"/>
        <v>4</v>
      </c>
      <c r="X32" s="55">
        <f t="shared" si="6"/>
        <v>4</v>
      </c>
      <c r="Y32" s="55">
        <f t="shared" si="6"/>
        <v>1</v>
      </c>
      <c r="Z32" s="55">
        <f t="shared" si="6"/>
        <v>4</v>
      </c>
      <c r="AA32" s="55">
        <f t="shared" si="6"/>
        <v>4</v>
      </c>
      <c r="AB32" s="55">
        <f t="shared" si="6"/>
        <v>4</v>
      </c>
      <c r="AC32" s="55">
        <f t="shared" si="6"/>
        <v>4</v>
      </c>
      <c r="AD32" s="55">
        <f t="shared" si="6"/>
        <v>4</v>
      </c>
      <c r="AE32" s="55">
        <f t="shared" si="6"/>
        <v>4</v>
      </c>
      <c r="AF32" s="55">
        <f t="shared" si="6"/>
        <v>1</v>
      </c>
      <c r="AG32" s="55">
        <f t="shared" si="6"/>
        <v>4</v>
      </c>
      <c r="AH32" s="55">
        <f t="shared" si="6"/>
        <v>4</v>
      </c>
      <c r="AI32" s="55">
        <f t="shared" si="6"/>
        <v>4</v>
      </c>
      <c r="AJ32" s="55">
        <f>SUM(AJ28:AJ31)</f>
        <v>112</v>
      </c>
      <c r="AK32" s="55">
        <f>SUM(AK28:AK31)</f>
        <v>12</v>
      </c>
    </row>
    <row r="34" spans="1:4" x14ac:dyDescent="0.4">
      <c r="A34" s="56" t="s">
        <v>125</v>
      </c>
    </row>
    <row r="35" spans="1:4" x14ac:dyDescent="0.4">
      <c r="A35" s="57" t="s">
        <v>58</v>
      </c>
      <c r="B35" s="58" t="s">
        <v>126</v>
      </c>
      <c r="D35" s="59" t="s">
        <v>127</v>
      </c>
    </row>
    <row r="36" spans="1:4" x14ac:dyDescent="0.4">
      <c r="A36" s="57" t="s">
        <v>62</v>
      </c>
      <c r="B36" s="58" t="s">
        <v>128</v>
      </c>
      <c r="D36" s="59" t="s">
        <v>129</v>
      </c>
    </row>
    <row r="37" spans="1:4" x14ac:dyDescent="0.4">
      <c r="A37" s="57" t="s">
        <v>59</v>
      </c>
      <c r="B37" s="58" t="s">
        <v>130</v>
      </c>
      <c r="D37" s="59" t="s">
        <v>131</v>
      </c>
    </row>
    <row r="38" spans="1:4" x14ac:dyDescent="0.4">
      <c r="A38" s="57" t="s">
        <v>86</v>
      </c>
      <c r="B38" s="58" t="s">
        <v>132</v>
      </c>
      <c r="D38" s="59" t="s">
        <v>133</v>
      </c>
    </row>
    <row r="39" spans="1:4" x14ac:dyDescent="0.4">
      <c r="A39" s="57" t="s">
        <v>83</v>
      </c>
      <c r="B39" s="58" t="s">
        <v>134</v>
      </c>
      <c r="D39" s="59"/>
    </row>
    <row r="40" spans="1:4" x14ac:dyDescent="0.4">
      <c r="A40" s="57" t="s">
        <v>57</v>
      </c>
      <c r="B40" s="58" t="s">
        <v>135</v>
      </c>
      <c r="D40" s="59"/>
    </row>
    <row r="41" spans="1:4" x14ac:dyDescent="0.4">
      <c r="A41" s="57" t="s">
        <v>99</v>
      </c>
      <c r="B41" s="58" t="s">
        <v>136</v>
      </c>
      <c r="D41" s="59" t="s">
        <v>137</v>
      </c>
    </row>
    <row r="42" spans="1:4" x14ac:dyDescent="0.4">
      <c r="A42" s="57" t="s">
        <v>138</v>
      </c>
      <c r="B42" s="58" t="s">
        <v>139</v>
      </c>
      <c r="D42" s="59" t="s">
        <v>137</v>
      </c>
    </row>
    <row r="43" spans="1:4" x14ac:dyDescent="0.4">
      <c r="A43" s="57" t="s">
        <v>140</v>
      </c>
      <c r="B43" s="58" t="s">
        <v>141</v>
      </c>
      <c r="D43" s="59" t="s">
        <v>137</v>
      </c>
    </row>
    <row r="44" spans="1:4" x14ac:dyDescent="0.4">
      <c r="A44" s="57" t="s">
        <v>142</v>
      </c>
      <c r="B44" s="58" t="s">
        <v>143</v>
      </c>
      <c r="D44" s="59" t="s">
        <v>137</v>
      </c>
    </row>
    <row r="45" spans="1:4" x14ac:dyDescent="0.4">
      <c r="A45" s="57" t="s">
        <v>68</v>
      </c>
      <c r="B45" s="58" t="s">
        <v>144</v>
      </c>
      <c r="D45" s="59" t="s">
        <v>145</v>
      </c>
    </row>
    <row r="46" spans="1:4" x14ac:dyDescent="0.4">
      <c r="A46" s="57" t="s">
        <v>74</v>
      </c>
      <c r="B46" s="58" t="s">
        <v>146</v>
      </c>
      <c r="D46" s="59" t="s">
        <v>147</v>
      </c>
    </row>
    <row r="47" spans="1:4" x14ac:dyDescent="0.4">
      <c r="A47" s="57" t="s">
        <v>70</v>
      </c>
      <c r="B47" s="58" t="s">
        <v>148</v>
      </c>
      <c r="D47" s="59" t="s">
        <v>149</v>
      </c>
    </row>
    <row r="48" spans="1:4" x14ac:dyDescent="0.4">
      <c r="A48" s="57" t="s">
        <v>71</v>
      </c>
      <c r="B48" s="58" t="s">
        <v>150</v>
      </c>
      <c r="D48" s="59" t="s">
        <v>151</v>
      </c>
    </row>
    <row r="49" spans="1:4" x14ac:dyDescent="0.4">
      <c r="A49" s="57" t="s">
        <v>89</v>
      </c>
      <c r="B49" s="58" t="s">
        <v>152</v>
      </c>
      <c r="D49" s="59" t="s">
        <v>153</v>
      </c>
    </row>
    <row r="50" spans="1:4" x14ac:dyDescent="0.4">
      <c r="A50" s="57" t="s">
        <v>67</v>
      </c>
      <c r="B50" s="58" t="s">
        <v>154</v>
      </c>
      <c r="D50" s="59" t="s">
        <v>155</v>
      </c>
    </row>
    <row r="51" spans="1:4" x14ac:dyDescent="0.4">
      <c r="A51" s="57" t="s">
        <v>156</v>
      </c>
      <c r="B51" s="58" t="s">
        <v>157</v>
      </c>
      <c r="D51" s="59" t="s">
        <v>158</v>
      </c>
    </row>
    <row r="52" spans="1:4" x14ac:dyDescent="0.4">
      <c r="A52" s="57" t="s">
        <v>106</v>
      </c>
      <c r="B52" s="58" t="s">
        <v>159</v>
      </c>
      <c r="D52" s="59"/>
    </row>
    <row r="53" spans="1:4" x14ac:dyDescent="0.4">
      <c r="A53" s="57" t="s">
        <v>160</v>
      </c>
      <c r="B53" s="58" t="s">
        <v>161</v>
      </c>
      <c r="D53" s="59" t="s">
        <v>137</v>
      </c>
    </row>
    <row r="54" spans="1:4" x14ac:dyDescent="0.4">
      <c r="A54" s="57" t="s">
        <v>56</v>
      </c>
      <c r="B54" s="58" t="s">
        <v>162</v>
      </c>
      <c r="D54" s="59"/>
    </row>
    <row r="55" spans="1:4" x14ac:dyDescent="0.4">
      <c r="A55" s="57" t="s">
        <v>163</v>
      </c>
      <c r="B55" s="58" t="s">
        <v>164</v>
      </c>
      <c r="D55" s="59"/>
    </row>
  </sheetData>
  <dataValidations count="1">
    <dataValidation type="list" allowBlank="1" sqref="E5:AI33" xr:uid="{00000000-0002-0000-0600-000000000000}">
      <formula1>"CG,CS,CCT,CGD,D1,D2,HC,12,21,2C,S,C,T,SC,ST,CT,SCT,LD,NG,X,P"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workbookViewId="0"/>
  </sheetViews>
  <sheetFormatPr defaultRowHeight="14.6" x14ac:dyDescent="0.4"/>
  <cols>
    <col min="1" max="1" width="9" customWidth="1"/>
    <col min="2" max="2" width="24" customWidth="1"/>
    <col min="3" max="3" width="15" customWidth="1"/>
    <col min="4" max="4" width="20" customWidth="1"/>
    <col min="5" max="5" width="15" customWidth="1"/>
    <col min="6" max="6" width="20" customWidth="1"/>
    <col min="7" max="7" width="46" customWidth="1"/>
  </cols>
  <sheetData>
    <row r="1" spans="1:7" x14ac:dyDescent="0.4">
      <c r="A1" s="9" t="s">
        <v>165</v>
      </c>
      <c r="B1" s="9" t="s">
        <v>166</v>
      </c>
      <c r="C1" s="9" t="s">
        <v>167</v>
      </c>
      <c r="D1" s="9" t="s">
        <v>168</v>
      </c>
      <c r="E1" s="9" t="s">
        <v>169</v>
      </c>
      <c r="F1" s="9" t="s">
        <v>170</v>
      </c>
      <c r="G1" s="9" t="s">
        <v>171</v>
      </c>
    </row>
    <row r="2" spans="1:7" x14ac:dyDescent="0.4">
      <c r="A2" s="64" t="s">
        <v>58</v>
      </c>
      <c r="B2" s="6" t="s">
        <v>126</v>
      </c>
      <c r="C2" s="15" t="s">
        <v>172</v>
      </c>
      <c r="D2" s="6"/>
      <c r="E2" s="15" t="s">
        <v>173</v>
      </c>
      <c r="F2" s="6"/>
      <c r="G2" s="6"/>
    </row>
    <row r="3" spans="1:7" x14ac:dyDescent="0.4">
      <c r="A3" s="64" t="s">
        <v>62</v>
      </c>
      <c r="B3" s="6" t="s">
        <v>128</v>
      </c>
      <c r="C3" s="15"/>
      <c r="D3" s="6" t="s">
        <v>162</v>
      </c>
      <c r="E3" s="15" t="s">
        <v>129</v>
      </c>
      <c r="F3" s="6"/>
      <c r="G3" s="6" t="s">
        <v>174</v>
      </c>
    </row>
    <row r="4" spans="1:7" x14ac:dyDescent="0.4">
      <c r="A4" s="64" t="s">
        <v>59</v>
      </c>
      <c r="B4" s="6" t="s">
        <v>130</v>
      </c>
      <c r="C4" s="15" t="s">
        <v>145</v>
      </c>
      <c r="D4" s="6"/>
      <c r="E4" s="15" t="s">
        <v>175</v>
      </c>
      <c r="F4" s="6"/>
      <c r="G4" s="6"/>
    </row>
    <row r="5" spans="1:7" x14ac:dyDescent="0.4">
      <c r="A5" s="64" t="s">
        <v>86</v>
      </c>
      <c r="B5" s="6" t="s">
        <v>132</v>
      </c>
      <c r="C5" s="15" t="s">
        <v>172</v>
      </c>
      <c r="D5" s="6"/>
      <c r="E5" s="15" t="s">
        <v>176</v>
      </c>
      <c r="F5" s="6"/>
      <c r="G5" s="6"/>
    </row>
    <row r="6" spans="1:7" x14ac:dyDescent="0.4">
      <c r="A6" s="64" t="s">
        <v>83</v>
      </c>
      <c r="B6" s="6" t="s">
        <v>134</v>
      </c>
      <c r="C6" s="15"/>
      <c r="D6" s="6" t="s">
        <v>54</v>
      </c>
      <c r="E6" s="15"/>
      <c r="F6" s="6" t="s">
        <v>54</v>
      </c>
      <c r="G6" s="6"/>
    </row>
    <row r="7" spans="1:7" x14ac:dyDescent="0.4">
      <c r="A7" s="64" t="s">
        <v>57</v>
      </c>
      <c r="B7" s="6" t="s">
        <v>135</v>
      </c>
      <c r="C7" s="15"/>
      <c r="D7" s="6" t="s">
        <v>82</v>
      </c>
      <c r="E7" s="15"/>
      <c r="F7" s="6" t="s">
        <v>82</v>
      </c>
      <c r="G7" s="6"/>
    </row>
    <row r="8" spans="1:7" x14ac:dyDescent="0.4">
      <c r="A8" s="64" t="s">
        <v>99</v>
      </c>
      <c r="B8" s="6" t="s">
        <v>136</v>
      </c>
      <c r="C8" s="15" t="s">
        <v>177</v>
      </c>
      <c r="D8" s="6" t="s">
        <v>178</v>
      </c>
      <c r="E8" s="15" t="s">
        <v>179</v>
      </c>
      <c r="F8" s="6" t="s">
        <v>178</v>
      </c>
      <c r="G8" s="6"/>
    </row>
    <row r="9" spans="1:7" x14ac:dyDescent="0.4">
      <c r="A9" s="64" t="s">
        <v>138</v>
      </c>
      <c r="B9" s="6" t="s">
        <v>139</v>
      </c>
      <c r="C9" s="15" t="s">
        <v>177</v>
      </c>
      <c r="D9" s="6" t="s">
        <v>54</v>
      </c>
      <c r="E9" s="15" t="s">
        <v>179</v>
      </c>
      <c r="F9" s="6" t="s">
        <v>82</v>
      </c>
      <c r="G9" s="6"/>
    </row>
    <row r="10" spans="1:7" x14ac:dyDescent="0.4">
      <c r="A10" s="64" t="s">
        <v>140</v>
      </c>
      <c r="B10" s="6" t="s">
        <v>141</v>
      </c>
      <c r="C10" s="15" t="s">
        <v>177</v>
      </c>
      <c r="D10" s="6" t="s">
        <v>82</v>
      </c>
      <c r="E10" s="15" t="s">
        <v>179</v>
      </c>
      <c r="F10" s="6" t="s">
        <v>54</v>
      </c>
      <c r="G10" s="6"/>
    </row>
    <row r="11" spans="1:7" x14ac:dyDescent="0.4">
      <c r="A11" s="64" t="s">
        <v>142</v>
      </c>
      <c r="B11" s="6" t="s">
        <v>143</v>
      </c>
      <c r="C11" s="15" t="s">
        <v>177</v>
      </c>
      <c r="D11" s="6" t="s">
        <v>143</v>
      </c>
      <c r="E11" s="15" t="s">
        <v>179</v>
      </c>
      <c r="F11" s="6" t="s">
        <v>143</v>
      </c>
      <c r="G11" s="6"/>
    </row>
    <row r="12" spans="1:7" x14ac:dyDescent="0.4">
      <c r="A12" s="64" t="s">
        <v>68</v>
      </c>
      <c r="B12" s="6" t="s">
        <v>144</v>
      </c>
      <c r="C12" s="15" t="s">
        <v>145</v>
      </c>
      <c r="D12" s="6"/>
      <c r="E12" s="15"/>
      <c r="F12" s="6" t="s">
        <v>162</v>
      </c>
      <c r="G12" s="6"/>
    </row>
    <row r="13" spans="1:7" x14ac:dyDescent="0.4">
      <c r="A13" s="64" t="s">
        <v>74</v>
      </c>
      <c r="B13" s="6" t="s">
        <v>146</v>
      </c>
      <c r="C13" s="15"/>
      <c r="D13" s="6" t="s">
        <v>162</v>
      </c>
      <c r="E13" s="15" t="s">
        <v>147</v>
      </c>
      <c r="F13" s="6"/>
      <c r="G13" s="6"/>
    </row>
    <row r="14" spans="1:7" x14ac:dyDescent="0.4">
      <c r="A14" s="64" t="s">
        <v>70</v>
      </c>
      <c r="B14" s="6" t="s">
        <v>148</v>
      </c>
      <c r="C14" s="15"/>
      <c r="D14" s="6" t="s">
        <v>162</v>
      </c>
      <c r="E14" s="15" t="s">
        <v>149</v>
      </c>
      <c r="F14" s="6"/>
      <c r="G14" s="6"/>
    </row>
    <row r="15" spans="1:7" x14ac:dyDescent="0.4">
      <c r="A15" s="64" t="s">
        <v>71</v>
      </c>
      <c r="B15" s="6" t="s">
        <v>150</v>
      </c>
      <c r="C15" s="15" t="s">
        <v>145</v>
      </c>
      <c r="D15" s="6"/>
      <c r="E15" s="15" t="s">
        <v>147</v>
      </c>
      <c r="F15" s="6"/>
      <c r="G15" s="6"/>
    </row>
    <row r="16" spans="1:7" x14ac:dyDescent="0.4">
      <c r="A16" s="64" t="s">
        <v>89</v>
      </c>
      <c r="B16" s="6" t="s">
        <v>152</v>
      </c>
      <c r="C16" s="15" t="s">
        <v>145</v>
      </c>
      <c r="D16" s="6"/>
      <c r="E16" s="15" t="s">
        <v>149</v>
      </c>
      <c r="F16" s="6"/>
      <c r="G16" s="6"/>
    </row>
    <row r="17" spans="1:7" x14ac:dyDescent="0.4">
      <c r="A17" s="64" t="s">
        <v>67</v>
      </c>
      <c r="B17" s="6" t="s">
        <v>154</v>
      </c>
      <c r="C17" s="15"/>
      <c r="D17" s="6" t="s">
        <v>162</v>
      </c>
      <c r="E17" s="15" t="s">
        <v>155</v>
      </c>
      <c r="F17" s="6"/>
      <c r="G17" s="6"/>
    </row>
    <row r="18" spans="1:7" x14ac:dyDescent="0.4">
      <c r="A18" s="64" t="s">
        <v>156</v>
      </c>
      <c r="B18" s="6" t="s">
        <v>157</v>
      </c>
      <c r="C18" s="15" t="s">
        <v>145</v>
      </c>
      <c r="D18" s="6"/>
      <c r="E18" s="15" t="s">
        <v>155</v>
      </c>
      <c r="F18" s="6"/>
      <c r="G18" s="6"/>
    </row>
    <row r="19" spans="1:7" x14ac:dyDescent="0.4">
      <c r="A19" s="64" t="s">
        <v>106</v>
      </c>
      <c r="B19" s="6" t="s">
        <v>159</v>
      </c>
      <c r="C19" s="15"/>
      <c r="D19" s="6" t="s">
        <v>159</v>
      </c>
      <c r="E19" s="15"/>
      <c r="F19" s="6" t="s">
        <v>159</v>
      </c>
      <c r="G19" s="6" t="s">
        <v>180</v>
      </c>
    </row>
    <row r="20" spans="1:7" x14ac:dyDescent="0.4">
      <c r="A20" s="64" t="s">
        <v>160</v>
      </c>
      <c r="B20" s="6" t="s">
        <v>161</v>
      </c>
      <c r="C20" s="15" t="s">
        <v>177</v>
      </c>
      <c r="D20" s="6" t="s">
        <v>161</v>
      </c>
      <c r="E20" s="15" t="s">
        <v>179</v>
      </c>
      <c r="F20" s="6" t="s">
        <v>161</v>
      </c>
      <c r="G20" s="6"/>
    </row>
    <row r="21" spans="1:7" x14ac:dyDescent="0.4">
      <c r="A21" s="64" t="s">
        <v>56</v>
      </c>
      <c r="B21" s="6" t="s">
        <v>162</v>
      </c>
      <c r="C21" s="15"/>
      <c r="D21" s="6" t="s">
        <v>162</v>
      </c>
      <c r="E21" s="15"/>
      <c r="F21" s="6" t="s">
        <v>162</v>
      </c>
      <c r="G21" s="6"/>
    </row>
    <row r="22" spans="1:7" x14ac:dyDescent="0.4">
      <c r="A22" s="64" t="s">
        <v>163</v>
      </c>
      <c r="B22" s="6" t="s">
        <v>164</v>
      </c>
      <c r="C22" s="15"/>
      <c r="D22" s="6" t="s">
        <v>162</v>
      </c>
      <c r="E22" s="15"/>
      <c r="F22" s="6" t="s">
        <v>162</v>
      </c>
      <c r="G22" s="6"/>
    </row>
    <row r="24" spans="1:7" x14ac:dyDescent="0.4">
      <c r="B24" s="26" t="s">
        <v>181</v>
      </c>
    </row>
  </sheetData>
  <dataValidations count="1">
    <dataValidation type="list" allowBlank="1" sqref="D2:D22 F2:F22" xr:uid="{00000000-0002-0000-0700-000000000000}">
      <formula1>"Cơ sở 1,Cơ sở 2,Cả 2 cơ sở,Hội sở,Theo phân công,Linh động,Công tác ngoài,Nghỉ"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2"/>
  <sheetViews>
    <sheetView workbookViewId="0">
      <selection activeCell="B12" sqref="B12"/>
    </sheetView>
  </sheetViews>
  <sheetFormatPr defaultRowHeight="14.6" x14ac:dyDescent="0.4"/>
  <cols>
    <col min="1" max="1" width="11" customWidth="1"/>
    <col min="2" max="2" width="32" customWidth="1"/>
    <col min="3" max="3" width="11" customWidth="1"/>
    <col min="4" max="5" width="12" customWidth="1"/>
    <col min="6" max="6" width="17" customWidth="1"/>
    <col min="7" max="7" width="8" customWidth="1"/>
    <col min="8" max="8" width="12" customWidth="1"/>
    <col min="9" max="9" width="42" customWidth="1"/>
  </cols>
  <sheetData>
    <row r="1" spans="1:9" x14ac:dyDescent="0.4">
      <c r="A1" s="65" t="s">
        <v>182</v>
      </c>
    </row>
    <row r="2" spans="1:9" x14ac:dyDescent="0.4">
      <c r="A2" s="9" t="s">
        <v>183</v>
      </c>
      <c r="B2" s="9" t="s">
        <v>184</v>
      </c>
      <c r="C2" s="9" t="s">
        <v>185</v>
      </c>
      <c r="D2" s="9" t="s">
        <v>186</v>
      </c>
      <c r="E2" s="9" t="s">
        <v>187</v>
      </c>
      <c r="F2" s="9" t="s">
        <v>188</v>
      </c>
      <c r="G2" s="9" t="s">
        <v>189</v>
      </c>
      <c r="H2" s="9" t="s">
        <v>190</v>
      </c>
      <c r="I2" s="9" t="s">
        <v>191</v>
      </c>
    </row>
    <row r="3" spans="1:9" x14ac:dyDescent="0.4">
      <c r="A3" s="15" t="s">
        <v>54</v>
      </c>
      <c r="B3" s="6" t="s">
        <v>192</v>
      </c>
      <c r="C3" s="15" t="s">
        <v>193</v>
      </c>
      <c r="D3" s="15" t="s">
        <v>194</v>
      </c>
      <c r="E3" s="15"/>
      <c r="F3" s="6" t="s">
        <v>102</v>
      </c>
      <c r="G3" s="15">
        <v>7</v>
      </c>
      <c r="H3" s="15" t="s">
        <v>195</v>
      </c>
      <c r="I3" s="6"/>
    </row>
    <row r="4" spans="1:9" x14ac:dyDescent="0.4">
      <c r="A4" s="15" t="s">
        <v>54</v>
      </c>
      <c r="B4" s="6" t="s">
        <v>196</v>
      </c>
      <c r="C4" s="15" t="s">
        <v>197</v>
      </c>
      <c r="D4" s="15" t="s">
        <v>198</v>
      </c>
      <c r="E4" s="15"/>
      <c r="F4" s="6" t="s">
        <v>102</v>
      </c>
      <c r="G4" s="15">
        <v>7</v>
      </c>
      <c r="H4" s="15" t="s">
        <v>195</v>
      </c>
      <c r="I4" s="6" t="s">
        <v>199</v>
      </c>
    </row>
    <row r="5" spans="1:9" x14ac:dyDescent="0.4">
      <c r="A5" s="15" t="s">
        <v>54</v>
      </c>
      <c r="B5" s="6" t="s">
        <v>200</v>
      </c>
      <c r="C5" s="15" t="s">
        <v>201</v>
      </c>
      <c r="D5" s="15" t="s">
        <v>194</v>
      </c>
      <c r="E5" s="15"/>
      <c r="F5" s="6" t="s">
        <v>102</v>
      </c>
      <c r="G5" s="15">
        <v>6</v>
      </c>
      <c r="H5" s="15" t="s">
        <v>195</v>
      </c>
      <c r="I5" s="6"/>
    </row>
    <row r="6" spans="1:9" x14ac:dyDescent="0.4">
      <c r="A6" s="15" t="s">
        <v>54</v>
      </c>
      <c r="B6" s="6" t="s">
        <v>202</v>
      </c>
      <c r="C6" s="15" t="s">
        <v>197</v>
      </c>
      <c r="D6" s="15" t="s">
        <v>203</v>
      </c>
      <c r="E6" s="15"/>
      <c r="F6" s="6" t="s">
        <v>102</v>
      </c>
      <c r="G6" s="15">
        <v>6</v>
      </c>
      <c r="H6" s="15" t="s">
        <v>195</v>
      </c>
      <c r="I6" s="6" t="s">
        <v>199</v>
      </c>
    </row>
    <row r="7" spans="1:9" x14ac:dyDescent="0.4">
      <c r="A7" s="66" t="s">
        <v>54</v>
      </c>
      <c r="B7" s="67" t="s">
        <v>204</v>
      </c>
      <c r="C7" s="66"/>
      <c r="D7" s="66"/>
      <c r="E7" s="66"/>
      <c r="F7" s="67" t="s">
        <v>102</v>
      </c>
      <c r="G7" s="66">
        <v>6</v>
      </c>
      <c r="H7" s="66" t="s">
        <v>205</v>
      </c>
      <c r="I7" s="67" t="s">
        <v>206</v>
      </c>
    </row>
    <row r="8" spans="1:9" x14ac:dyDescent="0.4">
      <c r="A8" s="15" t="s">
        <v>54</v>
      </c>
      <c r="B8" s="6" t="s">
        <v>219</v>
      </c>
      <c r="C8" s="15" t="s">
        <v>193</v>
      </c>
      <c r="D8" s="15" t="s">
        <v>194</v>
      </c>
      <c r="E8" s="15"/>
      <c r="F8" s="6" t="s">
        <v>72</v>
      </c>
      <c r="G8" s="15">
        <v>5</v>
      </c>
      <c r="H8" s="15" t="s">
        <v>195</v>
      </c>
      <c r="I8" s="6" t="s">
        <v>207</v>
      </c>
    </row>
    <row r="9" spans="1:9" x14ac:dyDescent="0.4">
      <c r="A9" s="15" t="s">
        <v>54</v>
      </c>
      <c r="B9" s="6" t="s">
        <v>219</v>
      </c>
      <c r="C9" s="15" t="s">
        <v>193</v>
      </c>
      <c r="D9" s="15" t="s">
        <v>208</v>
      </c>
      <c r="E9" s="15"/>
      <c r="F9" s="6" t="s">
        <v>72</v>
      </c>
      <c r="G9" s="15">
        <v>4</v>
      </c>
      <c r="H9" s="15" t="s">
        <v>195</v>
      </c>
      <c r="I9" s="6" t="s">
        <v>207</v>
      </c>
    </row>
    <row r="10" spans="1:9" x14ac:dyDescent="0.4">
      <c r="A10" s="15" t="s">
        <v>54</v>
      </c>
      <c r="B10" s="6" t="s">
        <v>213</v>
      </c>
      <c r="C10" s="15" t="s">
        <v>193</v>
      </c>
      <c r="D10" s="15" t="s">
        <v>208</v>
      </c>
      <c r="E10" s="15"/>
      <c r="F10" s="6" t="s">
        <v>81</v>
      </c>
      <c r="G10" s="15">
        <v>8</v>
      </c>
      <c r="H10" s="15" t="s">
        <v>195</v>
      </c>
      <c r="I10" s="6" t="s">
        <v>209</v>
      </c>
    </row>
    <row r="11" spans="1:9" x14ac:dyDescent="0.4">
      <c r="A11" s="15" t="s">
        <v>54</v>
      </c>
      <c r="B11" s="6" t="s">
        <v>217</v>
      </c>
      <c r="C11" s="15" t="s">
        <v>193</v>
      </c>
      <c r="D11" s="15" t="s">
        <v>210</v>
      </c>
      <c r="E11" s="15"/>
      <c r="F11" s="6" t="s">
        <v>64</v>
      </c>
      <c r="G11" s="15">
        <v>2</v>
      </c>
      <c r="H11" s="15" t="s">
        <v>195</v>
      </c>
      <c r="I11" s="6" t="s">
        <v>211</v>
      </c>
    </row>
    <row r="12" spans="1:9" x14ac:dyDescent="0.4">
      <c r="A12" s="15" t="s">
        <v>54</v>
      </c>
      <c r="B12" s="6" t="s">
        <v>213</v>
      </c>
      <c r="C12" s="15" t="s">
        <v>193</v>
      </c>
      <c r="D12" s="15" t="s">
        <v>194</v>
      </c>
      <c r="E12" s="15"/>
      <c r="F12" s="6" t="s">
        <v>64</v>
      </c>
      <c r="G12" s="15">
        <v>4</v>
      </c>
      <c r="H12" s="15" t="s">
        <v>195</v>
      </c>
      <c r="I12" s="6" t="s">
        <v>212</v>
      </c>
    </row>
    <row r="13" spans="1:9" x14ac:dyDescent="0.4">
      <c r="A13" s="15" t="s">
        <v>82</v>
      </c>
      <c r="B13" s="6" t="s">
        <v>213</v>
      </c>
      <c r="C13" s="15" t="s">
        <v>201</v>
      </c>
      <c r="D13" s="15" t="s">
        <v>214</v>
      </c>
      <c r="E13" s="15" t="s">
        <v>203</v>
      </c>
      <c r="F13" s="6" t="s">
        <v>92</v>
      </c>
      <c r="G13" s="15">
        <v>10</v>
      </c>
      <c r="H13" s="15" t="s">
        <v>195</v>
      </c>
      <c r="I13" s="6" t="s">
        <v>215</v>
      </c>
    </row>
    <row r="14" spans="1:9" x14ac:dyDescent="0.4">
      <c r="A14" s="15" t="s">
        <v>82</v>
      </c>
      <c r="B14" s="6" t="s">
        <v>213</v>
      </c>
      <c r="C14" s="15" t="s">
        <v>197</v>
      </c>
      <c r="D14" s="15" t="s">
        <v>210</v>
      </c>
      <c r="E14" s="15" t="s">
        <v>216</v>
      </c>
      <c r="F14" s="6" t="s">
        <v>100</v>
      </c>
      <c r="G14" s="15">
        <v>8</v>
      </c>
      <c r="H14" s="15" t="s">
        <v>195</v>
      </c>
      <c r="I14" s="6" t="s">
        <v>215</v>
      </c>
    </row>
    <row r="15" spans="1:9" x14ac:dyDescent="0.4">
      <c r="A15" s="15" t="s">
        <v>82</v>
      </c>
      <c r="B15" s="6" t="s">
        <v>217</v>
      </c>
      <c r="C15" s="15" t="s">
        <v>197</v>
      </c>
      <c r="D15" s="15" t="s">
        <v>194</v>
      </c>
      <c r="E15" s="15" t="s">
        <v>218</v>
      </c>
      <c r="F15" s="6" t="s">
        <v>100</v>
      </c>
      <c r="G15" s="15">
        <v>7</v>
      </c>
      <c r="H15" s="15" t="s">
        <v>195</v>
      </c>
      <c r="I15" s="6" t="s">
        <v>215</v>
      </c>
    </row>
    <row r="16" spans="1:9" x14ac:dyDescent="0.4">
      <c r="A16" s="15" t="s">
        <v>82</v>
      </c>
      <c r="B16" s="6" t="s">
        <v>217</v>
      </c>
      <c r="C16" s="15" t="s">
        <v>193</v>
      </c>
      <c r="D16" s="15" t="s">
        <v>194</v>
      </c>
      <c r="E16" s="15" t="s">
        <v>218</v>
      </c>
      <c r="F16" s="6" t="s">
        <v>100</v>
      </c>
      <c r="G16" s="15">
        <v>7</v>
      </c>
      <c r="H16" s="15" t="s">
        <v>195</v>
      </c>
      <c r="I16" s="6" t="s">
        <v>215</v>
      </c>
    </row>
    <row r="17" spans="1:9" ht="24.9" x14ac:dyDescent="0.4">
      <c r="A17" s="15" t="s">
        <v>82</v>
      </c>
      <c r="B17" s="6" t="s">
        <v>219</v>
      </c>
      <c r="C17" s="15" t="s">
        <v>220</v>
      </c>
      <c r="D17" s="15" t="s">
        <v>210</v>
      </c>
      <c r="E17" s="15" t="s">
        <v>216</v>
      </c>
      <c r="F17" s="6" t="s">
        <v>72</v>
      </c>
      <c r="G17" s="15">
        <v>4</v>
      </c>
      <c r="H17" s="15" t="s">
        <v>195</v>
      </c>
      <c r="I17" s="6" t="s">
        <v>221</v>
      </c>
    </row>
    <row r="18" spans="1:9" x14ac:dyDescent="0.4">
      <c r="A18" s="15" t="s">
        <v>82</v>
      </c>
      <c r="B18" s="6" t="s">
        <v>219</v>
      </c>
      <c r="C18" s="15" t="s">
        <v>201</v>
      </c>
      <c r="D18" s="15" t="s">
        <v>210</v>
      </c>
      <c r="E18" s="15" t="s">
        <v>216</v>
      </c>
      <c r="F18" s="6" t="s">
        <v>72</v>
      </c>
      <c r="G18" s="15">
        <v>4</v>
      </c>
      <c r="H18" s="15" t="s">
        <v>195</v>
      </c>
      <c r="I18" s="6" t="s">
        <v>222</v>
      </c>
    </row>
    <row r="19" spans="1:9" x14ac:dyDescent="0.4">
      <c r="A19" s="66" t="s">
        <v>82</v>
      </c>
      <c r="B19" s="67" t="s">
        <v>223</v>
      </c>
      <c r="C19" s="66"/>
      <c r="D19" s="66"/>
      <c r="E19" s="66"/>
      <c r="F19" s="67" t="s">
        <v>100</v>
      </c>
      <c r="G19" s="66">
        <v>5</v>
      </c>
      <c r="H19" s="66" t="s">
        <v>205</v>
      </c>
      <c r="I19" s="67" t="s">
        <v>224</v>
      </c>
    </row>
    <row r="20" spans="1:9" x14ac:dyDescent="0.4">
      <c r="A20" s="15" t="s">
        <v>82</v>
      </c>
      <c r="B20" s="6" t="s">
        <v>213</v>
      </c>
      <c r="C20" s="15" t="s">
        <v>193</v>
      </c>
      <c r="D20" s="15" t="s">
        <v>225</v>
      </c>
      <c r="E20" s="15" t="s">
        <v>218</v>
      </c>
      <c r="F20" s="6" t="s">
        <v>92</v>
      </c>
      <c r="G20" s="15">
        <v>4</v>
      </c>
      <c r="H20" s="15" t="s">
        <v>195</v>
      </c>
      <c r="I20" s="6" t="s">
        <v>226</v>
      </c>
    </row>
    <row r="22" spans="1:9" x14ac:dyDescent="0.4">
      <c r="A22" s="26" t="s">
        <v>227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/>
  </sheetViews>
  <sheetFormatPr defaultRowHeight="14.6" x14ac:dyDescent="0.4"/>
  <cols>
    <col min="1" max="2" width="13" customWidth="1"/>
    <col min="3" max="3" width="86" customWidth="1"/>
  </cols>
  <sheetData>
    <row r="1" spans="1:3" x14ac:dyDescent="0.4">
      <c r="A1" s="9" t="s">
        <v>43</v>
      </c>
      <c r="B1" s="9" t="s">
        <v>185</v>
      </c>
      <c r="C1" s="9" t="s">
        <v>228</v>
      </c>
    </row>
    <row r="2" spans="1:3" x14ac:dyDescent="0.4">
      <c r="A2" s="15" t="s">
        <v>54</v>
      </c>
      <c r="B2" s="15" t="s">
        <v>229</v>
      </c>
      <c r="C2" s="6" t="s">
        <v>230</v>
      </c>
    </row>
    <row r="3" spans="1:3" x14ac:dyDescent="0.4">
      <c r="A3" s="15" t="s">
        <v>54</v>
      </c>
      <c r="B3" s="15" t="s">
        <v>201</v>
      </c>
      <c r="C3" s="6" t="s">
        <v>231</v>
      </c>
    </row>
    <row r="4" spans="1:3" x14ac:dyDescent="0.4">
      <c r="A4" s="15" t="s">
        <v>54</v>
      </c>
      <c r="B4" s="15" t="s">
        <v>197</v>
      </c>
      <c r="C4" s="6" t="s">
        <v>230</v>
      </c>
    </row>
    <row r="5" spans="1:3" x14ac:dyDescent="0.4">
      <c r="A5" s="15" t="s">
        <v>54</v>
      </c>
      <c r="B5" s="15" t="s">
        <v>232</v>
      </c>
      <c r="C5" s="6" t="s">
        <v>233</v>
      </c>
    </row>
    <row r="6" spans="1:3" x14ac:dyDescent="0.4">
      <c r="A6" s="15" t="s">
        <v>54</v>
      </c>
      <c r="B6" s="15" t="s">
        <v>193</v>
      </c>
      <c r="C6" s="6" t="s">
        <v>234</v>
      </c>
    </row>
    <row r="7" spans="1:3" x14ac:dyDescent="0.4">
      <c r="A7" s="15" t="s">
        <v>54</v>
      </c>
      <c r="B7" s="15" t="s">
        <v>235</v>
      </c>
      <c r="C7" s="6" t="s">
        <v>236</v>
      </c>
    </row>
    <row r="8" spans="1:3" x14ac:dyDescent="0.4">
      <c r="A8" s="15" t="s">
        <v>82</v>
      </c>
      <c r="B8" s="15" t="s">
        <v>229</v>
      </c>
      <c r="C8" s="6" t="s">
        <v>231</v>
      </c>
    </row>
    <row r="9" spans="1:3" x14ac:dyDescent="0.4">
      <c r="A9" s="15" t="s">
        <v>82</v>
      </c>
      <c r="B9" s="15" t="s">
        <v>201</v>
      </c>
      <c r="C9" s="6" t="s">
        <v>230</v>
      </c>
    </row>
    <row r="10" spans="1:3" x14ac:dyDescent="0.4">
      <c r="A10" s="15" t="s">
        <v>82</v>
      </c>
      <c r="B10" s="15" t="s">
        <v>197</v>
      </c>
      <c r="C10" s="6" t="s">
        <v>233</v>
      </c>
    </row>
    <row r="11" spans="1:3" x14ac:dyDescent="0.4">
      <c r="A11" s="15" t="s">
        <v>82</v>
      </c>
      <c r="B11" s="15" t="s">
        <v>232</v>
      </c>
      <c r="C11" s="6" t="s">
        <v>230</v>
      </c>
    </row>
    <row r="12" spans="1:3" x14ac:dyDescent="0.4">
      <c r="A12" s="15" t="s">
        <v>82</v>
      </c>
      <c r="B12" s="15" t="s">
        <v>193</v>
      </c>
      <c r="C12" s="6" t="s">
        <v>237</v>
      </c>
    </row>
    <row r="13" spans="1:3" x14ac:dyDescent="0.4">
      <c r="A13" s="15" t="s">
        <v>82</v>
      </c>
      <c r="B13" s="15" t="s">
        <v>235</v>
      </c>
      <c r="C13" s="6" t="s">
        <v>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workbookViewId="0"/>
  </sheetViews>
  <sheetFormatPr defaultRowHeight="14.6" x14ac:dyDescent="0.4"/>
  <cols>
    <col min="1" max="1" width="13" customWidth="1"/>
    <col min="2" max="2" width="12" customWidth="1"/>
    <col min="3" max="3" width="18" customWidth="1"/>
    <col min="4" max="4" width="52" customWidth="1"/>
    <col min="5" max="5" width="13" customWidth="1"/>
    <col min="6" max="6" width="52" customWidth="1"/>
  </cols>
  <sheetData>
    <row r="1" spans="1:6" x14ac:dyDescent="0.4">
      <c r="A1" s="65" t="s">
        <v>239</v>
      </c>
    </row>
    <row r="2" spans="1:6" x14ac:dyDescent="0.4">
      <c r="A2" s="9" t="s">
        <v>240</v>
      </c>
      <c r="B2" s="9" t="s">
        <v>43</v>
      </c>
      <c r="C2" s="9" t="s">
        <v>241</v>
      </c>
      <c r="D2" s="9" t="s">
        <v>191</v>
      </c>
      <c r="E2" s="9" t="s">
        <v>242</v>
      </c>
      <c r="F2" s="9" t="s">
        <v>243</v>
      </c>
    </row>
    <row r="3" spans="1:6" x14ac:dyDescent="0.4">
      <c r="A3" s="68">
        <v>46266</v>
      </c>
      <c r="B3" s="69" t="s">
        <v>54</v>
      </c>
      <c r="C3" s="70"/>
      <c r="D3" s="70" t="s">
        <v>244</v>
      </c>
      <c r="E3" s="69" t="s">
        <v>245</v>
      </c>
      <c r="F3" s="70"/>
    </row>
    <row r="4" spans="1:6" x14ac:dyDescent="0.4">
      <c r="A4" s="68">
        <v>46266</v>
      </c>
      <c r="B4" s="69" t="s">
        <v>82</v>
      </c>
      <c r="C4" s="70"/>
      <c r="D4" s="70" t="s">
        <v>244</v>
      </c>
      <c r="E4" s="69" t="s">
        <v>245</v>
      </c>
      <c r="F4" s="70"/>
    </row>
    <row r="5" spans="1:6" x14ac:dyDescent="0.4">
      <c r="A5" s="68">
        <v>46266</v>
      </c>
      <c r="B5" s="69" t="s">
        <v>97</v>
      </c>
      <c r="C5" s="70"/>
      <c r="D5" s="70" t="s">
        <v>244</v>
      </c>
      <c r="E5" s="69" t="s">
        <v>245</v>
      </c>
      <c r="F5" s="70"/>
    </row>
    <row r="6" spans="1:6" x14ac:dyDescent="0.4">
      <c r="A6" s="68">
        <v>46267</v>
      </c>
      <c r="B6" s="69" t="s">
        <v>54</v>
      </c>
      <c r="C6" s="70"/>
      <c r="D6" s="70" t="s">
        <v>246</v>
      </c>
      <c r="E6" s="69" t="s">
        <v>245</v>
      </c>
      <c r="F6" s="70"/>
    </row>
    <row r="7" spans="1:6" x14ac:dyDescent="0.4">
      <c r="A7" s="68">
        <v>46267</v>
      </c>
      <c r="B7" s="69" t="s">
        <v>82</v>
      </c>
      <c r="C7" s="70"/>
      <c r="D7" s="70" t="s">
        <v>246</v>
      </c>
      <c r="E7" s="69" t="s">
        <v>245</v>
      </c>
      <c r="F7" s="70"/>
    </row>
    <row r="8" spans="1:6" x14ac:dyDescent="0.4">
      <c r="A8" s="68">
        <v>46267</v>
      </c>
      <c r="B8" s="69" t="s">
        <v>97</v>
      </c>
      <c r="C8" s="70"/>
      <c r="D8" s="70" t="s">
        <v>246</v>
      </c>
      <c r="E8" s="69" t="s">
        <v>245</v>
      </c>
      <c r="F8" s="70"/>
    </row>
    <row r="9" spans="1:6" ht="25.75" x14ac:dyDescent="0.4">
      <c r="A9" s="68">
        <v>46350</v>
      </c>
      <c r="B9" s="69" t="s">
        <v>54</v>
      </c>
      <c r="C9" s="70"/>
      <c r="D9" s="70" t="s">
        <v>247</v>
      </c>
      <c r="E9" s="69" t="s">
        <v>245</v>
      </c>
      <c r="F9" s="70"/>
    </row>
    <row r="10" spans="1:6" ht="25.75" x14ac:dyDescent="0.4">
      <c r="A10" s="68">
        <v>46350</v>
      </c>
      <c r="B10" s="69" t="s">
        <v>82</v>
      </c>
      <c r="C10" s="70"/>
      <c r="D10" s="70" t="s">
        <v>247</v>
      </c>
      <c r="E10" s="69" t="s">
        <v>245</v>
      </c>
      <c r="F10" s="70"/>
    </row>
    <row r="11" spans="1:6" ht="25.75" x14ac:dyDescent="0.4">
      <c r="A11" s="68">
        <v>46350</v>
      </c>
      <c r="B11" s="69" t="s">
        <v>97</v>
      </c>
      <c r="C11" s="70"/>
      <c r="D11" s="70" t="s">
        <v>247</v>
      </c>
      <c r="E11" s="69" t="s">
        <v>245</v>
      </c>
      <c r="F11" s="70"/>
    </row>
    <row r="13" spans="1:6" x14ac:dyDescent="0.4">
      <c r="A13" s="26" t="s">
        <v>248</v>
      </c>
    </row>
  </sheetData>
  <dataValidations count="2">
    <dataValidation type="list" allowBlank="1" sqref="B3:B200" xr:uid="{00000000-0002-0000-0A00-000000000000}">
      <formula1>"Cơ sở 1,Cơ sở 2,HO"</formula1>
    </dataValidation>
    <dataValidation type="list" allowBlank="1" sqref="E3:E200" xr:uid="{00000000-0002-0000-0A00-000001000000}">
      <formula1>"Có,Không"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1"/>
  <sheetViews>
    <sheetView workbookViewId="0"/>
  </sheetViews>
  <sheetFormatPr defaultRowHeight="14.6" x14ac:dyDescent="0.4"/>
  <cols>
    <col min="1" max="1" width="17" customWidth="1"/>
    <col min="2" max="2" width="16" customWidth="1"/>
    <col min="3" max="3" width="11" customWidth="1"/>
    <col min="4" max="4" width="26" customWidth="1"/>
    <col min="5" max="5" width="13" customWidth="1"/>
    <col min="6" max="6" width="11" customWidth="1"/>
    <col min="7" max="7" width="16" customWidth="1"/>
    <col min="8" max="8" width="14" customWidth="1"/>
    <col min="9" max="9" width="34" customWidth="1"/>
    <col min="10" max="11" width="14" customWidth="1"/>
    <col min="12" max="12" width="30" customWidth="1"/>
  </cols>
  <sheetData>
    <row r="1" spans="1:12" ht="15.45" x14ac:dyDescent="0.4">
      <c r="A1" s="71" t="s">
        <v>249</v>
      </c>
    </row>
    <row r="2" spans="1:12" x14ac:dyDescent="0.4">
      <c r="A2" s="26" t="s">
        <v>250</v>
      </c>
    </row>
    <row r="3" spans="1:12" x14ac:dyDescent="0.4">
      <c r="A3" s="9" t="s">
        <v>251</v>
      </c>
      <c r="B3" s="9" t="s">
        <v>116</v>
      </c>
      <c r="C3" s="9" t="s">
        <v>43</v>
      </c>
      <c r="D3" s="9" t="s">
        <v>252</v>
      </c>
      <c r="E3" s="9" t="s">
        <v>253</v>
      </c>
      <c r="F3" s="9" t="s">
        <v>254</v>
      </c>
      <c r="G3" s="9" t="s">
        <v>255</v>
      </c>
      <c r="H3" s="9" t="s">
        <v>256</v>
      </c>
      <c r="I3" s="9" t="s">
        <v>257</v>
      </c>
      <c r="J3" s="72" t="s">
        <v>190</v>
      </c>
      <c r="K3" s="72" t="s">
        <v>258</v>
      </c>
      <c r="L3" s="72" t="s">
        <v>259</v>
      </c>
    </row>
    <row r="4" spans="1:12" x14ac:dyDescent="0.4">
      <c r="A4" s="73">
        <v>46258.383333333331</v>
      </c>
      <c r="B4" s="74" t="s">
        <v>63</v>
      </c>
      <c r="C4" s="75" t="s">
        <v>54</v>
      </c>
      <c r="D4" s="75" t="s">
        <v>260</v>
      </c>
      <c r="E4" s="76">
        <v>46261</v>
      </c>
      <c r="F4" s="75"/>
      <c r="G4" s="74" t="s">
        <v>60</v>
      </c>
      <c r="H4" s="75" t="s">
        <v>62</v>
      </c>
      <c r="I4" s="74" t="s">
        <v>261</v>
      </c>
      <c r="J4" s="75" t="s">
        <v>262</v>
      </c>
      <c r="K4" s="75" t="s">
        <v>53</v>
      </c>
      <c r="L4" s="74"/>
    </row>
    <row r="5" spans="1:12" x14ac:dyDescent="0.4">
      <c r="A5" s="73">
        <v>46258.835416666669</v>
      </c>
      <c r="B5" s="74" t="s">
        <v>94</v>
      </c>
      <c r="C5" s="75" t="s">
        <v>82</v>
      </c>
      <c r="D5" s="75" t="s">
        <v>263</v>
      </c>
      <c r="E5" s="76">
        <v>46262</v>
      </c>
      <c r="F5" s="75" t="s">
        <v>71</v>
      </c>
      <c r="G5" s="74"/>
      <c r="H5" s="75"/>
      <c r="I5" s="74" t="s">
        <v>264</v>
      </c>
      <c r="J5" s="75" t="s">
        <v>265</v>
      </c>
      <c r="K5" s="75"/>
      <c r="L5" s="74"/>
    </row>
    <row r="7" spans="1:12" x14ac:dyDescent="0.4">
      <c r="A7" s="26" t="s">
        <v>266</v>
      </c>
    </row>
    <row r="9" spans="1:12" x14ac:dyDescent="0.4">
      <c r="A9" s="22" t="s">
        <v>267</v>
      </c>
    </row>
    <row r="10" spans="1:12" x14ac:dyDescent="0.4">
      <c r="A10" s="22" t="s">
        <v>268</v>
      </c>
    </row>
    <row r="11" spans="1:12" x14ac:dyDescent="0.4">
      <c r="A11" s="22" t="s">
        <v>269</v>
      </c>
    </row>
  </sheetData>
  <dataValidations count="4">
    <dataValidation type="list" allowBlank="1" sqref="D4:D500" xr:uid="{00000000-0002-0000-0B00-000000000000}">
      <formula1>"Nghỉ phép có người thay,Nghỉ phép không người thay,Đổi mã ca trong ngày,Đổi ca cho nhau"</formula1>
    </dataValidation>
    <dataValidation type="list" allowBlank="1" sqref="J4:J500" xr:uid="{00000000-0002-0000-0B00-000001000000}">
      <formula1>"Chờ duyệt,Đã duyệt,Từ chối"</formula1>
    </dataValidation>
    <dataValidation type="list" allowBlank="1" sqref="C4:C500" xr:uid="{00000000-0002-0000-0B00-000002000000}">
      <formula1>"Cơ sở 1,Cơ sở 2,HO"</formula1>
    </dataValidation>
    <dataValidation type="list" allowBlank="1" sqref="F4:F500 H4:H500" xr:uid="{00000000-0002-0000-0B00-000003000000}">
      <formula1>"CG,CS,CCT,CGD,D1,D2,HC,12,21,2C,S,C,T,SC,ST,CT,SCT,LD,NG,X,P"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/>
  </sheetViews>
  <sheetFormatPr defaultRowHeight="14.6" x14ac:dyDescent="0.4"/>
  <cols>
    <col min="1" max="2" width="13" customWidth="1"/>
    <col min="3" max="3" width="100" customWidth="1"/>
    <col min="4" max="4" width="3" customWidth="1"/>
    <col min="5" max="5" width="20" customWidth="1"/>
    <col min="6" max="6" width="60" customWidth="1"/>
  </cols>
  <sheetData>
    <row r="1" spans="1:5" x14ac:dyDescent="0.4">
      <c r="A1" s="77" t="s">
        <v>270</v>
      </c>
    </row>
    <row r="2" spans="1:5" x14ac:dyDescent="0.4">
      <c r="A2" s="9" t="s">
        <v>43</v>
      </c>
      <c r="B2" s="9" t="s">
        <v>240</v>
      </c>
      <c r="C2" s="9" t="s">
        <v>271</v>
      </c>
      <c r="E2" s="24" t="s">
        <v>272</v>
      </c>
    </row>
    <row r="3" spans="1:5" x14ac:dyDescent="0.4">
      <c r="A3" s="78" t="s">
        <v>54</v>
      </c>
      <c r="B3" s="79"/>
      <c r="C3" s="79"/>
      <c r="E3" s="24" t="s">
        <v>273</v>
      </c>
    </row>
    <row r="4" spans="1:5" x14ac:dyDescent="0.4">
      <c r="A4" s="78" t="s">
        <v>82</v>
      </c>
      <c r="B4" s="79"/>
      <c r="C4" s="79"/>
    </row>
    <row r="5" spans="1:5" x14ac:dyDescent="0.4">
      <c r="A5" s="78" t="s">
        <v>97</v>
      </c>
      <c r="B5" s="79"/>
      <c r="C5" s="7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HƯỚNG DẪN</vt:lpstr>
      <vt:lpstr>KHUNG CA CỐ ĐỊNH</vt:lpstr>
      <vt:lpstr>LỊCH T08-2026</vt:lpstr>
      <vt:lpstr>LỊCH T09-2026</vt:lpstr>
      <vt:lpstr>LỊCH T10-2026</vt:lpstr>
      <vt:lpstr>LỊCH T11-2026</vt:lpstr>
      <vt:lpstr>LỊCH T12-2026</vt:lpstr>
      <vt:lpstr>DANH MỤC CA</vt:lpstr>
      <vt:lpstr>LỚP HỌC</vt:lpstr>
      <vt:lpstr>VIỆC CỐ ĐỊNH</vt:lpstr>
      <vt:lpstr>GHI CHÚ &amp; GHI ĐÈ</vt:lpstr>
      <vt:lpstr>ĐƠN ĐỔI CA</vt:lpstr>
      <vt:lpstr>KẾT QUẢ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Kiệt Hoàng</cp:lastModifiedBy>
  <dcterms:created xsi:type="dcterms:W3CDTF">2026-08-29T09:13:26Z</dcterms:created>
  <dcterms:modified xsi:type="dcterms:W3CDTF">2026-08-29T10:40:58Z</dcterms:modified>
</cp:coreProperties>
</file>